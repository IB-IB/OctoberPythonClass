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\\pasture.ecn.purdue.edu\ibradfo\Personal\GitHub\BGS-IWRA-RSWQ\"/>
    </mc:Choice>
  </mc:AlternateContent>
  <xr:revisionPtr revIDLastSave="0" documentId="14_{BED41EE7-FC9F-4F04-A633-2E26ECE987BD}" xr6:coauthVersionLast="47" xr6:coauthVersionMax="47" xr10:uidLastSave="{00000000-0000-0000-0000-000000000000}"/>
  <bookViews>
    <workbookView xWindow="-120" yWindow="-120" windowWidth="19440" windowHeight="14880" firstSheet="1" activeTab="1" xr2:uid="{4ABC50A2-D1DC-44E8-A227-EC9CD6767C02}"/>
  </bookViews>
  <sheets>
    <sheet name="Code" sheetId="1" r:id="rId1"/>
    <sheet name="Full List of Data" sheetId="8" r:id="rId2"/>
    <sheet name="2024 Combined" sheetId="30" r:id="rId3"/>
    <sheet name="YSI" sheetId="32" r:id="rId4"/>
    <sheet name="DistanceFromDam" sheetId="3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230" i="30" l="1"/>
  <c r="BA230" i="30"/>
  <c r="AZ230" i="30"/>
  <c r="BB229" i="30"/>
  <c r="BA229" i="30"/>
  <c r="AZ229" i="30"/>
  <c r="BB228" i="30"/>
  <c r="BA228" i="30"/>
  <c r="AZ228" i="30"/>
  <c r="BB227" i="30"/>
  <c r="BA227" i="30"/>
  <c r="AZ227" i="30"/>
  <c r="BB226" i="30"/>
  <c r="BA226" i="30"/>
  <c r="AZ226" i="30"/>
  <c r="BB225" i="30"/>
  <c r="BA225" i="30"/>
  <c r="AZ225" i="30"/>
  <c r="BB224" i="30"/>
  <c r="BA224" i="30"/>
  <c r="AZ224" i="30"/>
  <c r="BB223" i="30"/>
  <c r="BA223" i="30"/>
  <c r="AZ223" i="30"/>
  <c r="BB222" i="30"/>
  <c r="BA222" i="30"/>
  <c r="AZ222" i="30"/>
  <c r="BB221" i="30"/>
  <c r="BA221" i="30"/>
  <c r="AZ221" i="30"/>
  <c r="BB220" i="30"/>
  <c r="BA220" i="30"/>
  <c r="AZ220" i="30"/>
  <c r="BB219" i="30"/>
  <c r="BA219" i="30"/>
  <c r="AZ219" i="30"/>
  <c r="BB218" i="30"/>
  <c r="BA218" i="30"/>
  <c r="AZ218" i="30"/>
  <c r="BB217" i="30"/>
  <c r="BA217" i="30"/>
  <c r="AZ217" i="30"/>
  <c r="BB216" i="30"/>
  <c r="BA216" i="30"/>
  <c r="AZ216" i="30"/>
  <c r="BB215" i="30"/>
  <c r="BA215" i="30"/>
  <c r="AZ215" i="30"/>
  <c r="BB214" i="30"/>
  <c r="BA214" i="30"/>
  <c r="AZ214" i="30"/>
  <c r="BB213" i="30"/>
  <c r="BA213" i="30"/>
  <c r="AZ213" i="30"/>
  <c r="BB212" i="30"/>
  <c r="BA212" i="30"/>
  <c r="AZ212" i="30"/>
  <c r="BB211" i="30"/>
  <c r="BA211" i="30"/>
  <c r="AZ211" i="30"/>
  <c r="BB210" i="30"/>
  <c r="BA210" i="30"/>
  <c r="AZ210" i="30"/>
  <c r="BB209" i="30"/>
  <c r="BA209" i="30"/>
  <c r="AZ209" i="30"/>
  <c r="BB208" i="30"/>
  <c r="BA208" i="30"/>
  <c r="AZ208" i="30"/>
  <c r="BB207" i="30"/>
  <c r="BA207" i="30"/>
  <c r="AZ207" i="30"/>
  <c r="BB206" i="30"/>
  <c r="BA206" i="30"/>
  <c r="AZ206" i="30"/>
  <c r="BB205" i="30"/>
  <c r="BA205" i="30"/>
  <c r="AZ205" i="30"/>
  <c r="BB204" i="30"/>
  <c r="BA204" i="30"/>
  <c r="AZ204" i="30"/>
  <c r="BB203" i="30"/>
  <c r="BA203" i="30"/>
  <c r="AZ203" i="30"/>
  <c r="BB202" i="30"/>
  <c r="BA202" i="30"/>
  <c r="AZ202" i="30"/>
  <c r="BB201" i="30"/>
  <c r="BA201" i="30"/>
  <c r="AZ201" i="30"/>
  <c r="BB200" i="30"/>
  <c r="BA200" i="30"/>
  <c r="AZ200" i="30"/>
  <c r="BB199" i="30"/>
  <c r="BA199" i="30"/>
  <c r="AZ199" i="30"/>
  <c r="BB198" i="30"/>
  <c r="BA198" i="30"/>
  <c r="AZ198" i="30"/>
  <c r="BB197" i="30"/>
  <c r="BA197" i="30"/>
  <c r="AZ197" i="30"/>
  <c r="BB196" i="30"/>
  <c r="BA196" i="30"/>
  <c r="AZ196" i="30"/>
  <c r="BB195" i="30"/>
  <c r="BA195" i="30"/>
  <c r="AZ195" i="30"/>
  <c r="BB194" i="30"/>
  <c r="BA194" i="30"/>
  <c r="AZ194" i="30"/>
  <c r="BB193" i="30"/>
  <c r="BA193" i="30"/>
  <c r="AZ193" i="30"/>
  <c r="BB192" i="30"/>
  <c r="BA192" i="30"/>
  <c r="AZ192" i="30"/>
  <c r="BB191" i="30"/>
  <c r="BA191" i="30"/>
  <c r="AZ191" i="30"/>
  <c r="BB190" i="30"/>
  <c r="BA190" i="30"/>
  <c r="AZ190" i="30"/>
  <c r="BB189" i="30"/>
  <c r="BA189" i="30"/>
  <c r="AZ189" i="30"/>
  <c r="BB188" i="30"/>
  <c r="BA188" i="30"/>
  <c r="AZ188" i="30"/>
  <c r="BB187" i="30"/>
  <c r="BA187" i="30"/>
  <c r="AZ187" i="30"/>
  <c r="BB186" i="30"/>
  <c r="BA186" i="30"/>
  <c r="AZ186" i="30"/>
  <c r="BB185" i="30"/>
  <c r="BA185" i="30"/>
  <c r="AZ185" i="30"/>
  <c r="BB184" i="30"/>
  <c r="BA184" i="30"/>
  <c r="AZ184" i="30"/>
  <c r="BB183" i="30"/>
  <c r="BA183" i="30"/>
  <c r="AZ183" i="30"/>
  <c r="BB182" i="30"/>
  <c r="BA182" i="30"/>
  <c r="AZ182" i="30"/>
  <c r="BB181" i="30"/>
  <c r="BA181" i="30"/>
  <c r="AZ181" i="30"/>
  <c r="BB180" i="30"/>
  <c r="BA180" i="30"/>
  <c r="AZ180" i="30"/>
  <c r="BB179" i="30"/>
  <c r="BA179" i="30"/>
  <c r="AZ179" i="30"/>
  <c r="BB178" i="30"/>
  <c r="BA178" i="30"/>
  <c r="AZ178" i="30"/>
  <c r="BB177" i="30"/>
  <c r="BA177" i="30"/>
  <c r="AZ177" i="30"/>
  <c r="BB176" i="30"/>
  <c r="BA176" i="30"/>
  <c r="AZ176" i="30"/>
  <c r="BB175" i="30"/>
  <c r="BA175" i="30"/>
  <c r="AZ175" i="30"/>
  <c r="BB174" i="30"/>
  <c r="BA174" i="30"/>
  <c r="AZ174" i="30"/>
  <c r="BB173" i="30"/>
  <c r="BA173" i="30"/>
  <c r="AZ173" i="30"/>
  <c r="BB172" i="30"/>
  <c r="BA172" i="30"/>
  <c r="AZ172" i="30"/>
  <c r="BB170" i="30"/>
  <c r="BA170" i="30"/>
  <c r="AZ170" i="30"/>
  <c r="BB169" i="30"/>
  <c r="BA169" i="30"/>
  <c r="AZ169" i="30"/>
  <c r="BB168" i="30"/>
  <c r="BA168" i="30"/>
  <c r="AZ168" i="30"/>
  <c r="BB167" i="30"/>
  <c r="BA167" i="30"/>
  <c r="AZ167" i="30"/>
  <c r="BB166" i="30"/>
  <c r="BA166" i="30"/>
  <c r="AZ166" i="30"/>
  <c r="BB165" i="30"/>
  <c r="BA165" i="30"/>
  <c r="AZ165" i="30"/>
  <c r="BB164" i="30"/>
  <c r="BA164" i="30"/>
  <c r="AZ164" i="30"/>
  <c r="BB163" i="30"/>
  <c r="BA163" i="30"/>
  <c r="AZ163" i="30"/>
  <c r="BB162" i="30"/>
  <c r="BA162" i="30"/>
  <c r="AZ162" i="30"/>
  <c r="BB161" i="30"/>
  <c r="BA161" i="30"/>
  <c r="AZ161" i="30"/>
  <c r="BB160" i="30"/>
  <c r="BA160" i="30"/>
  <c r="AZ160" i="30"/>
  <c r="BB159" i="30"/>
  <c r="BA159" i="30"/>
  <c r="AZ159" i="30"/>
  <c r="BB158" i="30"/>
  <c r="BA158" i="30"/>
  <c r="AZ158" i="30"/>
  <c r="BB157" i="30"/>
  <c r="BA157" i="30"/>
  <c r="AZ157" i="30"/>
  <c r="BB156" i="30"/>
  <c r="BA156" i="30"/>
  <c r="AZ156" i="30"/>
  <c r="BB155" i="30"/>
  <c r="BA155" i="30"/>
  <c r="AZ155" i="30"/>
  <c r="BB154" i="30"/>
  <c r="BA154" i="30"/>
  <c r="AZ154" i="30"/>
  <c r="BB153" i="30"/>
  <c r="BA153" i="30"/>
  <c r="AZ153" i="30"/>
  <c r="BB152" i="30"/>
  <c r="BA152" i="30"/>
  <c r="AZ152" i="30"/>
  <c r="BB151" i="30"/>
  <c r="BA151" i="30"/>
  <c r="AZ151" i="30"/>
  <c r="BB150" i="30"/>
  <c r="BA150" i="30"/>
  <c r="AZ150" i="30"/>
  <c r="BB149" i="30"/>
  <c r="BA149" i="30"/>
  <c r="AZ149" i="30"/>
  <c r="BB148" i="30"/>
  <c r="BA148" i="30"/>
  <c r="AZ148" i="30"/>
  <c r="BB147" i="30"/>
  <c r="BA147" i="30"/>
  <c r="AZ147" i="30"/>
  <c r="BB146" i="30"/>
  <c r="BA146" i="30"/>
  <c r="AZ146" i="30"/>
  <c r="BB145" i="30"/>
  <c r="BA145" i="30"/>
  <c r="AZ145" i="30"/>
  <c r="BB144" i="30"/>
  <c r="BA144" i="30"/>
  <c r="AZ144" i="30"/>
  <c r="BB143" i="30"/>
  <c r="BA143" i="30"/>
  <c r="AZ143" i="30"/>
  <c r="BB142" i="30"/>
  <c r="BA142" i="30"/>
  <c r="AZ142" i="30"/>
  <c r="BB141" i="30"/>
  <c r="BA141" i="30"/>
  <c r="AZ141" i="30"/>
  <c r="BB140" i="30"/>
  <c r="BA140" i="30"/>
  <c r="AZ140" i="30"/>
  <c r="BB139" i="30"/>
  <c r="BA139" i="30"/>
  <c r="AZ139" i="30"/>
  <c r="BB138" i="30"/>
  <c r="BA138" i="30"/>
  <c r="AZ138" i="30"/>
  <c r="BB137" i="30"/>
  <c r="BA137" i="30"/>
  <c r="AZ137" i="30"/>
  <c r="BB136" i="30"/>
  <c r="BA136" i="30"/>
  <c r="AZ136" i="30"/>
  <c r="BB135" i="30"/>
  <c r="BA135" i="30"/>
  <c r="AZ135" i="30"/>
  <c r="BB134" i="30"/>
  <c r="BA134" i="30"/>
  <c r="AZ134" i="30"/>
  <c r="BB133" i="30"/>
  <c r="BA133" i="30"/>
  <c r="AZ133" i="30"/>
  <c r="BB132" i="30"/>
  <c r="BA132" i="30"/>
  <c r="AZ132" i="30"/>
  <c r="BB131" i="30"/>
  <c r="BA131" i="30"/>
  <c r="AZ131" i="30"/>
  <c r="BB130" i="30"/>
  <c r="BA130" i="30"/>
  <c r="AZ130" i="30"/>
  <c r="BB129" i="30"/>
  <c r="BA129" i="30"/>
  <c r="AZ129" i="30"/>
  <c r="BB128" i="30"/>
  <c r="BA128" i="30"/>
  <c r="AZ128" i="30"/>
  <c r="BB127" i="30"/>
  <c r="BA127" i="30"/>
  <c r="AZ127" i="30"/>
  <c r="BB126" i="30"/>
  <c r="BA126" i="30"/>
  <c r="AZ126" i="30"/>
  <c r="BB125" i="30"/>
  <c r="BA125" i="30"/>
  <c r="AZ125" i="30"/>
  <c r="BB124" i="30"/>
  <c r="BA124" i="30"/>
  <c r="AZ124" i="30"/>
  <c r="BB123" i="30"/>
  <c r="BA123" i="30"/>
  <c r="AZ123" i="30"/>
  <c r="BB122" i="30"/>
  <c r="BA122" i="30"/>
  <c r="AZ122" i="30"/>
  <c r="BB121" i="30"/>
  <c r="BA121" i="30"/>
  <c r="AZ121" i="30"/>
  <c r="BB120" i="30"/>
  <c r="BA120" i="30"/>
  <c r="AZ120" i="30"/>
  <c r="BB119" i="30"/>
  <c r="BA119" i="30"/>
  <c r="AZ119" i="30"/>
  <c r="BB118" i="30"/>
  <c r="BA118" i="30"/>
  <c r="AZ118" i="30"/>
  <c r="BB117" i="30"/>
  <c r="BA117" i="30"/>
  <c r="AZ117" i="30"/>
  <c r="BB116" i="30"/>
  <c r="BA116" i="30"/>
  <c r="AZ116" i="30"/>
  <c r="BB115" i="30"/>
  <c r="BA115" i="30"/>
  <c r="AZ115" i="30"/>
  <c r="BB114" i="30"/>
  <c r="BA114" i="30"/>
  <c r="AZ114" i="30"/>
  <c r="BB113" i="30"/>
  <c r="BA113" i="30"/>
  <c r="AZ113" i="30"/>
  <c r="BB112" i="30"/>
  <c r="BA112" i="30"/>
  <c r="AZ112" i="30"/>
  <c r="BB111" i="30"/>
  <c r="BA111" i="30"/>
  <c r="AZ111" i="30"/>
  <c r="BB110" i="30"/>
  <c r="BA110" i="30"/>
  <c r="AZ110" i="30"/>
  <c r="BB109" i="30"/>
  <c r="BA109" i="30"/>
  <c r="AZ109" i="30"/>
  <c r="BB108" i="30"/>
  <c r="BA108" i="30"/>
  <c r="AZ108" i="30"/>
  <c r="BB107" i="30"/>
  <c r="BA107" i="30"/>
  <c r="AZ107" i="30"/>
  <c r="BB106" i="30"/>
  <c r="BA106" i="30"/>
  <c r="AZ106" i="30"/>
  <c r="BB105" i="30"/>
  <c r="BA105" i="30"/>
  <c r="AZ105" i="30"/>
  <c r="BB104" i="30"/>
  <c r="BA104" i="30"/>
  <c r="AZ104" i="30"/>
  <c r="BB103" i="30"/>
  <c r="BA103" i="30"/>
  <c r="AZ103" i="30"/>
  <c r="BB102" i="30"/>
  <c r="BA102" i="30"/>
  <c r="AZ102" i="30"/>
  <c r="BB101" i="30"/>
  <c r="BA101" i="30"/>
  <c r="AZ101" i="30"/>
  <c r="BB100" i="30"/>
  <c r="BA100" i="30"/>
  <c r="AZ100" i="30"/>
  <c r="BB99" i="30"/>
  <c r="BA99" i="30"/>
  <c r="AZ99" i="30"/>
  <c r="BB98" i="30"/>
  <c r="BA98" i="30"/>
  <c r="AZ98" i="30"/>
  <c r="BB97" i="30"/>
  <c r="BA97" i="30"/>
  <c r="AZ97" i="30"/>
  <c r="BB96" i="30"/>
  <c r="BA96" i="30"/>
  <c r="AZ96" i="30"/>
  <c r="BB95" i="30"/>
  <c r="BA95" i="30"/>
  <c r="AZ95" i="30"/>
  <c r="BB94" i="30"/>
  <c r="BA94" i="30"/>
  <c r="AZ94" i="30"/>
  <c r="BB93" i="30"/>
  <c r="BA93" i="30"/>
  <c r="AZ93" i="30"/>
  <c r="BB92" i="30"/>
  <c r="BA92" i="30"/>
  <c r="AZ92" i="30"/>
  <c r="BB91" i="30"/>
  <c r="BA91" i="30"/>
  <c r="AZ91" i="30"/>
  <c r="BB90" i="30"/>
  <c r="BA90" i="30"/>
  <c r="AZ90" i="30"/>
  <c r="BB89" i="30"/>
  <c r="BA89" i="30"/>
  <c r="AZ89" i="30"/>
  <c r="BB88" i="30"/>
  <c r="BA88" i="30"/>
  <c r="AZ88" i="30"/>
  <c r="BB87" i="30"/>
  <c r="BA87" i="30"/>
  <c r="AZ87" i="30"/>
  <c r="BB86" i="30"/>
  <c r="BA86" i="30"/>
  <c r="AZ86" i="30"/>
  <c r="BB85" i="30"/>
  <c r="BA85" i="30"/>
  <c r="AZ85" i="30"/>
  <c r="BB84" i="30"/>
  <c r="BA84" i="30"/>
  <c r="AZ84" i="30"/>
  <c r="BB83" i="30"/>
  <c r="BA83" i="30"/>
  <c r="AZ83" i="30"/>
  <c r="BB82" i="30"/>
  <c r="BA82" i="30"/>
  <c r="AZ82" i="30"/>
  <c r="BB81" i="30"/>
  <c r="BA81" i="30"/>
  <c r="AZ81" i="30"/>
  <c r="BB80" i="30"/>
  <c r="BA80" i="30"/>
  <c r="AZ80" i="30"/>
  <c r="BB79" i="30"/>
  <c r="BA79" i="30"/>
  <c r="AZ79" i="30"/>
  <c r="BB78" i="30"/>
  <c r="BA78" i="30"/>
  <c r="AZ78" i="30"/>
  <c r="BB77" i="30"/>
  <c r="BA77" i="30"/>
  <c r="AZ77" i="30"/>
  <c r="BB76" i="30"/>
  <c r="BA76" i="30"/>
  <c r="AZ76" i="30"/>
  <c r="BB75" i="30"/>
  <c r="BA75" i="30"/>
  <c r="AZ75" i="30"/>
  <c r="BB74" i="30"/>
  <c r="BA74" i="30"/>
  <c r="AZ74" i="30"/>
  <c r="BB73" i="30"/>
  <c r="BA73" i="30"/>
  <c r="AZ73" i="30"/>
  <c r="BB72" i="30"/>
  <c r="BA72" i="30"/>
  <c r="AZ72" i="30"/>
  <c r="BB71" i="30"/>
  <c r="BA71" i="30"/>
  <c r="AZ71" i="30"/>
  <c r="BB70" i="30"/>
  <c r="BA70" i="30"/>
  <c r="AZ70" i="30"/>
  <c r="BB69" i="30"/>
  <c r="BA69" i="30"/>
  <c r="AZ69" i="30"/>
  <c r="BB68" i="30"/>
  <c r="BA68" i="30"/>
  <c r="AZ68" i="30"/>
  <c r="BB67" i="30"/>
  <c r="BA67" i="30"/>
  <c r="AZ67" i="30"/>
  <c r="BB66" i="30"/>
  <c r="BA66" i="30"/>
  <c r="AZ66" i="30"/>
  <c r="BB65" i="30"/>
  <c r="BA65" i="30"/>
  <c r="AZ65" i="30"/>
  <c r="BB64" i="30"/>
  <c r="BA64" i="30"/>
  <c r="AZ64" i="30"/>
  <c r="BB63" i="30"/>
  <c r="BA63" i="30"/>
  <c r="AZ63" i="30"/>
  <c r="BB62" i="30"/>
  <c r="BA62" i="30"/>
  <c r="AZ62" i="30"/>
  <c r="BB61" i="30"/>
  <c r="BA61" i="30"/>
  <c r="AZ61" i="30"/>
  <c r="BB60" i="30"/>
  <c r="BA60" i="30"/>
  <c r="AZ60" i="30"/>
  <c r="BB59" i="30"/>
  <c r="BA59" i="30"/>
  <c r="AZ59" i="30"/>
  <c r="BB58" i="30"/>
  <c r="BA58" i="30"/>
  <c r="AZ58" i="30"/>
  <c r="BB57" i="30"/>
  <c r="BA57" i="30"/>
  <c r="AZ57" i="30"/>
  <c r="BB56" i="30"/>
  <c r="BA56" i="30"/>
  <c r="AZ56" i="30"/>
  <c r="BB55" i="30"/>
  <c r="BA55" i="30"/>
  <c r="AZ55" i="30"/>
  <c r="BB54" i="30"/>
  <c r="BA54" i="30"/>
  <c r="AZ54" i="30"/>
  <c r="BB53" i="30"/>
  <c r="BA53" i="30"/>
  <c r="AZ53" i="30"/>
  <c r="BB52" i="30"/>
  <c r="BA52" i="30"/>
  <c r="AZ52" i="30"/>
  <c r="BB51" i="30"/>
  <c r="BA51" i="30"/>
  <c r="AZ51" i="30"/>
  <c r="BB50" i="30"/>
  <c r="BA50" i="30"/>
  <c r="AZ50" i="30"/>
  <c r="BB49" i="30"/>
  <c r="BA49" i="30"/>
  <c r="AZ49" i="30"/>
  <c r="BB48" i="30"/>
  <c r="BA48" i="30"/>
  <c r="AZ48" i="30"/>
  <c r="BB47" i="30"/>
  <c r="BA47" i="30"/>
  <c r="AZ47" i="30"/>
  <c r="BB46" i="30"/>
  <c r="BA46" i="30"/>
  <c r="AZ46" i="30"/>
  <c r="BB45" i="30"/>
  <c r="BA45" i="30"/>
  <c r="AZ45" i="30"/>
  <c r="BB44" i="30"/>
  <c r="BA44" i="30"/>
  <c r="AZ44" i="30"/>
  <c r="BB43" i="30"/>
  <c r="BA43" i="30"/>
  <c r="AZ43" i="30"/>
  <c r="BB42" i="30"/>
  <c r="BA42" i="30"/>
  <c r="AZ42" i="30"/>
  <c r="BB41" i="30"/>
  <c r="BA41" i="30"/>
  <c r="AZ41" i="30"/>
  <c r="BB40" i="30"/>
  <c r="BA40" i="30"/>
  <c r="AZ40" i="30"/>
  <c r="BB39" i="30"/>
  <c r="BA39" i="30"/>
  <c r="AZ39" i="30"/>
  <c r="BB38" i="30"/>
  <c r="BA38" i="30"/>
  <c r="AZ38" i="30"/>
  <c r="BB37" i="30"/>
  <c r="BA37" i="30"/>
  <c r="AZ37" i="30"/>
  <c r="BB36" i="30"/>
  <c r="BA36" i="30"/>
  <c r="AZ36" i="30"/>
  <c r="BB35" i="30"/>
  <c r="BA35" i="30"/>
  <c r="AZ35" i="30"/>
  <c r="BB34" i="30"/>
  <c r="BA34" i="30"/>
  <c r="AZ34" i="30"/>
  <c r="BB33" i="30"/>
  <c r="BA33" i="30"/>
  <c r="AZ33" i="30"/>
  <c r="BB32" i="30"/>
  <c r="BA32" i="30"/>
  <c r="AZ32" i="30"/>
  <c r="BB31" i="30"/>
  <c r="BA31" i="30"/>
  <c r="AZ31" i="30"/>
  <c r="BB30" i="30"/>
  <c r="BA30" i="30"/>
  <c r="AZ30" i="30"/>
  <c r="BB29" i="30"/>
  <c r="BA29" i="30"/>
  <c r="AZ29" i="30"/>
  <c r="BB28" i="30"/>
  <c r="BA28" i="30"/>
  <c r="AZ28" i="30"/>
  <c r="BB27" i="30"/>
  <c r="BA27" i="30"/>
  <c r="AZ27" i="30"/>
  <c r="BB26" i="30"/>
  <c r="BA26" i="30"/>
  <c r="AZ26" i="30"/>
  <c r="BB25" i="30"/>
  <c r="BA25" i="30"/>
  <c r="AZ25" i="30"/>
  <c r="BB24" i="30"/>
  <c r="BA24" i="30"/>
  <c r="AZ24" i="30"/>
  <c r="BB23" i="30"/>
  <c r="BA23" i="30"/>
  <c r="AZ23" i="30"/>
  <c r="BB22" i="30"/>
  <c r="BA22" i="30"/>
  <c r="AZ22" i="30"/>
  <c r="BB21" i="30"/>
  <c r="BA21" i="30"/>
  <c r="AZ21" i="30"/>
  <c r="BB20" i="30"/>
  <c r="BA20" i="30"/>
  <c r="AZ20" i="30"/>
  <c r="BB19" i="30"/>
  <c r="BA19" i="30"/>
  <c r="AZ19" i="30"/>
  <c r="BB18" i="30"/>
  <c r="BA18" i="30"/>
  <c r="AZ18" i="30"/>
  <c r="BB17" i="30"/>
  <c r="BA17" i="30"/>
  <c r="AZ17" i="30"/>
  <c r="BB16" i="30"/>
  <c r="BA16" i="30"/>
  <c r="AZ16" i="30"/>
  <c r="BB15" i="30"/>
  <c r="BA15" i="30"/>
  <c r="AZ15" i="30"/>
  <c r="BB14" i="30"/>
  <c r="BA14" i="30"/>
  <c r="AZ14" i="30"/>
  <c r="BB13" i="30"/>
  <c r="BA13" i="30"/>
  <c r="AZ13" i="30"/>
  <c r="BB12" i="30"/>
  <c r="BA12" i="30"/>
  <c r="AZ12" i="30"/>
  <c r="BB11" i="30"/>
  <c r="BA11" i="30"/>
  <c r="AZ11" i="30"/>
  <c r="BB10" i="30"/>
  <c r="BA10" i="30"/>
  <c r="AZ10" i="30"/>
  <c r="BB9" i="30"/>
  <c r="BA9" i="30"/>
  <c r="AZ9" i="30"/>
  <c r="BB8" i="30"/>
  <c r="BA8" i="30"/>
  <c r="AZ8" i="30"/>
  <c r="BB7" i="30"/>
  <c r="BA7" i="30"/>
  <c r="AZ7" i="30"/>
  <c r="BB6" i="30"/>
  <c r="BA6" i="30"/>
  <c r="AZ6" i="30"/>
  <c r="BB5" i="30"/>
  <c r="BA5" i="30"/>
  <c r="AZ5" i="30"/>
  <c r="BB4" i="30"/>
  <c r="BA4" i="30"/>
  <c r="AZ4" i="30"/>
  <c r="BB3" i="30"/>
  <c r="BA3" i="30"/>
  <c r="AZ3" i="30"/>
  <c r="BB2" i="30"/>
  <c r="BA2" i="30"/>
  <c r="AZ2" i="30"/>
  <c r="AC378" i="8"/>
  <c r="AD378" i="8"/>
  <c r="AE378" i="8"/>
  <c r="AC345" i="8"/>
  <c r="AD345" i="8"/>
  <c r="AE345" i="8"/>
  <c r="AC346" i="8"/>
  <c r="AD346" i="8"/>
  <c r="AE346" i="8"/>
  <c r="AC347" i="8"/>
  <c r="AD347" i="8"/>
  <c r="AE347" i="8"/>
  <c r="AC348" i="8"/>
  <c r="AD348" i="8"/>
  <c r="AE348" i="8"/>
  <c r="AC349" i="8"/>
  <c r="AD349" i="8"/>
  <c r="AE349" i="8"/>
  <c r="AC350" i="8"/>
  <c r="AD350" i="8"/>
  <c r="AE350" i="8"/>
  <c r="AC351" i="8"/>
  <c r="AD351" i="8"/>
  <c r="AE351" i="8"/>
  <c r="AC352" i="8"/>
  <c r="AD352" i="8"/>
  <c r="AE352" i="8"/>
  <c r="AC353" i="8"/>
  <c r="AD353" i="8"/>
  <c r="AE353" i="8"/>
  <c r="Q506" i="8"/>
  <c r="Q507" i="8" s="1"/>
  <c r="R506" i="8"/>
  <c r="R507" i="8" s="1"/>
  <c r="Q510" i="8"/>
  <c r="Q511" i="8" s="1"/>
  <c r="R510" i="8"/>
  <c r="R511" i="8" s="1"/>
  <c r="Q502" i="8"/>
  <c r="R502" i="8"/>
  <c r="Q497" i="8"/>
  <c r="Q498" i="8" s="1"/>
  <c r="Q500" i="8" s="1"/>
  <c r="R497" i="8"/>
  <c r="R498" i="8" s="1"/>
  <c r="R500" i="8" s="1"/>
  <c r="K514" i="8"/>
  <c r="L514" i="8"/>
  <c r="M514" i="8"/>
  <c r="J514" i="8"/>
  <c r="N513" i="8"/>
  <c r="O510" i="8"/>
  <c r="O511" i="8" s="1"/>
  <c r="P510" i="8"/>
  <c r="P511" i="8" s="1"/>
  <c r="N510" i="8"/>
  <c r="N511" i="8" s="1"/>
  <c r="K506" i="8"/>
  <c r="K507" i="8" s="1"/>
  <c r="K509" i="8" s="1"/>
  <c r="L506" i="8"/>
  <c r="L507" i="8" s="1"/>
  <c r="L509" i="8" s="1"/>
  <c r="M506" i="8"/>
  <c r="M507" i="8" s="1"/>
  <c r="N506" i="8"/>
  <c r="N507" i="8" s="1"/>
  <c r="N509" i="8" s="1"/>
  <c r="O506" i="8"/>
  <c r="O507" i="8" s="1"/>
  <c r="O509" i="8" s="1"/>
  <c r="P506" i="8"/>
  <c r="P507" i="8" s="1"/>
  <c r="J506" i="8"/>
  <c r="J507" i="8" s="1"/>
  <c r="J509" i="8" s="1"/>
  <c r="M511" i="8"/>
  <c r="L511" i="8"/>
  <c r="K511" i="8"/>
  <c r="J511" i="8"/>
  <c r="K505" i="8"/>
  <c r="L505" i="8"/>
  <c r="J505" i="8"/>
  <c r="O497" i="8"/>
  <c r="O498" i="8" s="1"/>
  <c r="O503" i="8" s="1"/>
  <c r="P497" i="8"/>
  <c r="P498" i="8" s="1"/>
  <c r="AC485" i="8"/>
  <c r="AD485" i="8"/>
  <c r="AE485" i="8"/>
  <c r="AC486" i="8"/>
  <c r="AD486" i="8"/>
  <c r="AE486" i="8"/>
  <c r="AC487" i="8"/>
  <c r="AD487" i="8"/>
  <c r="AE487" i="8"/>
  <c r="AC488" i="8"/>
  <c r="AD488" i="8"/>
  <c r="AE488" i="8"/>
  <c r="AC489" i="8"/>
  <c r="AD489" i="8"/>
  <c r="AE489" i="8"/>
  <c r="AC490" i="8"/>
  <c r="AD490" i="8"/>
  <c r="AE490" i="8"/>
  <c r="AC491" i="8"/>
  <c r="AD491" i="8"/>
  <c r="AE491" i="8"/>
  <c r="AC492" i="8"/>
  <c r="AD492" i="8"/>
  <c r="AE492" i="8"/>
  <c r="AC493" i="8"/>
  <c r="AD493" i="8"/>
  <c r="AE493" i="8"/>
  <c r="AC494" i="8"/>
  <c r="AD494" i="8"/>
  <c r="AE494" i="8"/>
  <c r="AC495" i="8"/>
  <c r="AD495" i="8"/>
  <c r="AE495" i="8"/>
  <c r="AC496" i="8"/>
  <c r="AD496" i="8"/>
  <c r="AE496" i="8"/>
  <c r="AC484" i="8"/>
  <c r="AD484" i="8"/>
  <c r="AE484" i="8"/>
  <c r="L497" i="8"/>
  <c r="L498" i="8" s="1"/>
  <c r="J497" i="8"/>
  <c r="J498" i="8" s="1"/>
  <c r="K497" i="8"/>
  <c r="K498" i="8" s="1"/>
  <c r="K500" i="8" s="1"/>
  <c r="M497" i="8"/>
  <c r="M498" i="8" s="1"/>
  <c r="N497" i="8"/>
  <c r="N498" i="8" s="1"/>
  <c r="O502" i="8"/>
  <c r="P502" i="8"/>
  <c r="J502" i="8"/>
  <c r="K502" i="8"/>
  <c r="L502" i="8"/>
  <c r="M502" i="8"/>
  <c r="N502" i="8"/>
  <c r="AC474" i="8"/>
  <c r="AD474" i="8"/>
  <c r="AE474" i="8"/>
  <c r="AC475" i="8"/>
  <c r="AD475" i="8"/>
  <c r="AE475" i="8"/>
  <c r="AC476" i="8"/>
  <c r="AD476" i="8"/>
  <c r="AE476" i="8"/>
  <c r="AC477" i="8"/>
  <c r="AD477" i="8"/>
  <c r="AE477" i="8"/>
  <c r="AC478" i="8"/>
  <c r="AD478" i="8"/>
  <c r="AE478" i="8"/>
  <c r="AC479" i="8"/>
  <c r="AD479" i="8"/>
  <c r="AE479" i="8"/>
  <c r="AC480" i="8"/>
  <c r="AD480" i="8"/>
  <c r="AE480" i="8"/>
  <c r="AC481" i="8"/>
  <c r="AD481" i="8"/>
  <c r="AE481" i="8"/>
  <c r="AC482" i="8"/>
  <c r="AD482" i="8"/>
  <c r="AE482" i="8"/>
  <c r="AC483" i="8"/>
  <c r="AD483" i="8"/>
  <c r="AE483" i="8"/>
  <c r="AC462" i="8"/>
  <c r="AD462" i="8"/>
  <c r="AE462" i="8"/>
  <c r="AC463" i="8"/>
  <c r="AD463" i="8"/>
  <c r="AE463" i="8"/>
  <c r="AC464" i="8"/>
  <c r="AD464" i="8"/>
  <c r="AE464" i="8"/>
  <c r="AC465" i="8"/>
  <c r="AD465" i="8"/>
  <c r="AE465" i="8"/>
  <c r="AC466" i="8"/>
  <c r="AD466" i="8"/>
  <c r="AE466" i="8"/>
  <c r="AC467" i="8"/>
  <c r="AD467" i="8"/>
  <c r="AE467" i="8"/>
  <c r="AC468" i="8"/>
  <c r="AD468" i="8"/>
  <c r="AE468" i="8"/>
  <c r="AC469" i="8"/>
  <c r="AD469" i="8"/>
  <c r="AE469" i="8"/>
  <c r="AC470" i="8"/>
  <c r="AD470" i="8"/>
  <c r="AE470" i="8"/>
  <c r="AC471" i="8"/>
  <c r="AD471" i="8"/>
  <c r="AE471" i="8"/>
  <c r="AC472" i="8"/>
  <c r="AD472" i="8"/>
  <c r="AE472" i="8"/>
  <c r="AC473" i="8"/>
  <c r="AD473" i="8"/>
  <c r="AE473" i="8"/>
  <c r="AB7" i="8"/>
  <c r="AC436" i="8"/>
  <c r="AE438" i="8"/>
  <c r="AE439" i="8"/>
  <c r="AE440" i="8"/>
  <c r="AE441" i="8"/>
  <c r="AE442" i="8"/>
  <c r="AE443" i="8"/>
  <c r="AE444" i="8"/>
  <c r="AE445" i="8"/>
  <c r="AE446" i="8"/>
  <c r="AE447" i="8"/>
  <c r="AE448" i="8"/>
  <c r="AE449" i="8"/>
  <c r="AE450" i="8"/>
  <c r="AE451" i="8"/>
  <c r="AE452" i="8"/>
  <c r="AE453" i="8"/>
  <c r="AE454" i="8"/>
  <c r="AE455" i="8"/>
  <c r="AE456" i="8"/>
  <c r="AE457" i="8"/>
  <c r="AE458" i="8"/>
  <c r="AE459" i="8"/>
  <c r="AE460" i="8"/>
  <c r="AE461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C438" i="8"/>
  <c r="AC439" i="8"/>
  <c r="AC440" i="8"/>
  <c r="AC441" i="8"/>
  <c r="AC442" i="8"/>
  <c r="AC443" i="8"/>
  <c r="AC444" i="8"/>
  <c r="AC445" i="8"/>
  <c r="AC446" i="8"/>
  <c r="AC447" i="8"/>
  <c r="AC448" i="8"/>
  <c r="AC449" i="8"/>
  <c r="AC450" i="8"/>
  <c r="AC451" i="8"/>
  <c r="AC452" i="8"/>
  <c r="AC453" i="8"/>
  <c r="AC454" i="8"/>
  <c r="AC455" i="8"/>
  <c r="AC456" i="8"/>
  <c r="AC457" i="8"/>
  <c r="AC458" i="8"/>
  <c r="AC459" i="8"/>
  <c r="AC460" i="8"/>
  <c r="AC461" i="8"/>
  <c r="AE269" i="8"/>
  <c r="AE270" i="8"/>
  <c r="AE271" i="8"/>
  <c r="AE272" i="8"/>
  <c r="AE273" i="8"/>
  <c r="AE274" i="8"/>
  <c r="AE275" i="8"/>
  <c r="AE276" i="8"/>
  <c r="AE277" i="8"/>
  <c r="AE278" i="8"/>
  <c r="AE279" i="8"/>
  <c r="AE280" i="8"/>
  <c r="AE281" i="8"/>
  <c r="AE282" i="8"/>
  <c r="AE283" i="8"/>
  <c r="AE284" i="8"/>
  <c r="AE285" i="8"/>
  <c r="AE286" i="8"/>
  <c r="AE287" i="8"/>
  <c r="AE288" i="8"/>
  <c r="AE289" i="8"/>
  <c r="AE290" i="8"/>
  <c r="AE291" i="8"/>
  <c r="AE292" i="8"/>
  <c r="AE293" i="8"/>
  <c r="AE294" i="8"/>
  <c r="AE295" i="8"/>
  <c r="AE296" i="8"/>
  <c r="AE297" i="8"/>
  <c r="AE298" i="8"/>
  <c r="AE299" i="8"/>
  <c r="AE300" i="8"/>
  <c r="AE301" i="8"/>
  <c r="AE302" i="8"/>
  <c r="AE303" i="8"/>
  <c r="AE304" i="8"/>
  <c r="AE305" i="8"/>
  <c r="AE306" i="8"/>
  <c r="AE307" i="8"/>
  <c r="AE308" i="8"/>
  <c r="AE309" i="8"/>
  <c r="AE310" i="8"/>
  <c r="AE311" i="8"/>
  <c r="AE312" i="8"/>
  <c r="AE313" i="8"/>
  <c r="AE314" i="8"/>
  <c r="AE315" i="8"/>
  <c r="AE316" i="8"/>
  <c r="AE317" i="8"/>
  <c r="AE318" i="8"/>
  <c r="AE319" i="8"/>
  <c r="AE320" i="8"/>
  <c r="AE321" i="8"/>
  <c r="AE322" i="8"/>
  <c r="AE323" i="8"/>
  <c r="AE324" i="8"/>
  <c r="AE325" i="8"/>
  <c r="AE326" i="8"/>
  <c r="AE327" i="8"/>
  <c r="AE328" i="8"/>
  <c r="AE329" i="8"/>
  <c r="AE330" i="8"/>
  <c r="AE331" i="8"/>
  <c r="AE332" i="8"/>
  <c r="AE333" i="8"/>
  <c r="AE334" i="8"/>
  <c r="AE335" i="8"/>
  <c r="AE336" i="8"/>
  <c r="AE337" i="8"/>
  <c r="AE338" i="8"/>
  <c r="AE339" i="8"/>
  <c r="AE340" i="8"/>
  <c r="AE341" i="8"/>
  <c r="AE342" i="8"/>
  <c r="AE343" i="8"/>
  <c r="AE344" i="8"/>
  <c r="AE354" i="8"/>
  <c r="AE355" i="8"/>
  <c r="AE356" i="8"/>
  <c r="AE357" i="8"/>
  <c r="AE358" i="8"/>
  <c r="AE359" i="8"/>
  <c r="AE360" i="8"/>
  <c r="AE361" i="8"/>
  <c r="AE362" i="8"/>
  <c r="AE363" i="8"/>
  <c r="AE364" i="8"/>
  <c r="AE365" i="8"/>
  <c r="AE366" i="8"/>
  <c r="AE367" i="8"/>
  <c r="AE368" i="8"/>
  <c r="AE369" i="8"/>
  <c r="AE370" i="8"/>
  <c r="AE371" i="8"/>
  <c r="AE372" i="8"/>
  <c r="AE373" i="8"/>
  <c r="AE374" i="8"/>
  <c r="AE375" i="8"/>
  <c r="AE376" i="8"/>
  <c r="AE377" i="8"/>
  <c r="AE379" i="8"/>
  <c r="AE380" i="8"/>
  <c r="AE381" i="8"/>
  <c r="AE382" i="8"/>
  <c r="AE383" i="8"/>
  <c r="AE384" i="8"/>
  <c r="AE385" i="8"/>
  <c r="AE386" i="8"/>
  <c r="AE387" i="8"/>
  <c r="AE388" i="8"/>
  <c r="AE389" i="8"/>
  <c r="AE390" i="8"/>
  <c r="AE391" i="8"/>
  <c r="AE392" i="8"/>
  <c r="AE393" i="8"/>
  <c r="AE394" i="8"/>
  <c r="AE395" i="8"/>
  <c r="AE396" i="8"/>
  <c r="AE397" i="8"/>
  <c r="AE398" i="8"/>
  <c r="AE399" i="8"/>
  <c r="AE400" i="8"/>
  <c r="AE401" i="8"/>
  <c r="AE402" i="8"/>
  <c r="AE403" i="8"/>
  <c r="AE404" i="8"/>
  <c r="AE405" i="8"/>
  <c r="AE406" i="8"/>
  <c r="AE407" i="8"/>
  <c r="AE408" i="8"/>
  <c r="AE409" i="8"/>
  <c r="AE410" i="8"/>
  <c r="AE411" i="8"/>
  <c r="AE412" i="8"/>
  <c r="AE413" i="8"/>
  <c r="AE414" i="8"/>
  <c r="AE415" i="8"/>
  <c r="AE416" i="8"/>
  <c r="AE417" i="8"/>
  <c r="AE418" i="8"/>
  <c r="AE419" i="8"/>
  <c r="AE420" i="8"/>
  <c r="AE421" i="8"/>
  <c r="AE422" i="8"/>
  <c r="AE423" i="8"/>
  <c r="AE424" i="8"/>
  <c r="AE425" i="8"/>
  <c r="AE426" i="8"/>
  <c r="AE427" i="8"/>
  <c r="AE428" i="8"/>
  <c r="AE429" i="8"/>
  <c r="AE430" i="8"/>
  <c r="AE431" i="8"/>
  <c r="AE432" i="8"/>
  <c r="AE433" i="8"/>
  <c r="AE434" i="8"/>
  <c r="AE435" i="8"/>
  <c r="AE436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C269" i="8"/>
  <c r="AC270" i="8"/>
  <c r="AC271" i="8"/>
  <c r="AC272" i="8"/>
  <c r="AC273" i="8"/>
  <c r="AC274" i="8"/>
  <c r="AC275" i="8"/>
  <c r="AC276" i="8"/>
  <c r="AC277" i="8"/>
  <c r="AC278" i="8"/>
  <c r="AC279" i="8"/>
  <c r="AC280" i="8"/>
  <c r="AC281" i="8"/>
  <c r="AC282" i="8"/>
  <c r="AC283" i="8"/>
  <c r="AC284" i="8"/>
  <c r="AC285" i="8"/>
  <c r="AC286" i="8"/>
  <c r="AC287" i="8"/>
  <c r="AC288" i="8"/>
  <c r="AC289" i="8"/>
  <c r="AC290" i="8"/>
  <c r="AC291" i="8"/>
  <c r="AC292" i="8"/>
  <c r="AC293" i="8"/>
  <c r="AC294" i="8"/>
  <c r="AC295" i="8"/>
  <c r="AC296" i="8"/>
  <c r="AC297" i="8"/>
  <c r="AC298" i="8"/>
  <c r="AC299" i="8"/>
  <c r="AC300" i="8"/>
  <c r="AC301" i="8"/>
  <c r="AC302" i="8"/>
  <c r="AC303" i="8"/>
  <c r="AC304" i="8"/>
  <c r="AC305" i="8"/>
  <c r="AC306" i="8"/>
  <c r="AC307" i="8"/>
  <c r="AC308" i="8"/>
  <c r="AC309" i="8"/>
  <c r="AC310" i="8"/>
  <c r="AC311" i="8"/>
  <c r="AC312" i="8"/>
  <c r="AC313" i="8"/>
  <c r="AC314" i="8"/>
  <c r="AC315" i="8"/>
  <c r="AC316" i="8"/>
  <c r="AC317" i="8"/>
  <c r="AC318" i="8"/>
  <c r="AC319" i="8"/>
  <c r="AC320" i="8"/>
  <c r="AC321" i="8"/>
  <c r="AC322" i="8"/>
  <c r="AC323" i="8"/>
  <c r="AC324" i="8"/>
  <c r="AC325" i="8"/>
  <c r="AC326" i="8"/>
  <c r="AC327" i="8"/>
  <c r="AC328" i="8"/>
  <c r="AC329" i="8"/>
  <c r="AC330" i="8"/>
  <c r="AC331" i="8"/>
  <c r="AC332" i="8"/>
  <c r="AC333" i="8"/>
  <c r="AC334" i="8"/>
  <c r="AC335" i="8"/>
  <c r="AC336" i="8"/>
  <c r="AC337" i="8"/>
  <c r="AC338" i="8"/>
  <c r="AC339" i="8"/>
  <c r="AC340" i="8"/>
  <c r="AC341" i="8"/>
  <c r="AC342" i="8"/>
  <c r="AC343" i="8"/>
  <c r="AC344" i="8"/>
  <c r="AC354" i="8"/>
  <c r="AC355" i="8"/>
  <c r="AC356" i="8"/>
  <c r="AC357" i="8"/>
  <c r="AC358" i="8"/>
  <c r="AC359" i="8"/>
  <c r="AC360" i="8"/>
  <c r="AC361" i="8"/>
  <c r="AC362" i="8"/>
  <c r="AC363" i="8"/>
  <c r="AC364" i="8"/>
  <c r="AC365" i="8"/>
  <c r="AC366" i="8"/>
  <c r="AC367" i="8"/>
  <c r="AC368" i="8"/>
  <c r="AC369" i="8"/>
  <c r="AC370" i="8"/>
  <c r="AC371" i="8"/>
  <c r="AC372" i="8"/>
  <c r="AC373" i="8"/>
  <c r="AC374" i="8"/>
  <c r="AC375" i="8"/>
  <c r="AC376" i="8"/>
  <c r="AC377" i="8"/>
  <c r="AC379" i="8"/>
  <c r="AC380" i="8"/>
  <c r="AC381" i="8"/>
  <c r="AC382" i="8"/>
  <c r="AC383" i="8"/>
  <c r="AC384" i="8"/>
  <c r="AC385" i="8"/>
  <c r="AC386" i="8"/>
  <c r="AC387" i="8"/>
  <c r="AC388" i="8"/>
  <c r="AC389" i="8"/>
  <c r="AC390" i="8"/>
  <c r="AC391" i="8"/>
  <c r="AC392" i="8"/>
  <c r="AC393" i="8"/>
  <c r="AC394" i="8"/>
  <c r="AC395" i="8"/>
  <c r="AC396" i="8"/>
  <c r="AC397" i="8"/>
  <c r="AC398" i="8"/>
  <c r="AC399" i="8"/>
  <c r="AC400" i="8"/>
  <c r="AC401" i="8"/>
  <c r="AC402" i="8"/>
  <c r="AC403" i="8"/>
  <c r="AC404" i="8"/>
  <c r="AC405" i="8"/>
  <c r="AC406" i="8"/>
  <c r="AC407" i="8"/>
  <c r="AC408" i="8"/>
  <c r="AC409" i="8"/>
  <c r="AC410" i="8"/>
  <c r="AC411" i="8"/>
  <c r="AC412" i="8"/>
  <c r="AC413" i="8"/>
  <c r="AC414" i="8"/>
  <c r="AC415" i="8"/>
  <c r="AC416" i="8"/>
  <c r="AC417" i="8"/>
  <c r="AC418" i="8"/>
  <c r="AC419" i="8"/>
  <c r="AC420" i="8"/>
  <c r="AC421" i="8"/>
  <c r="AC422" i="8"/>
  <c r="AC423" i="8"/>
  <c r="AC424" i="8"/>
  <c r="AC425" i="8"/>
  <c r="AC426" i="8"/>
  <c r="AC427" i="8"/>
  <c r="AC428" i="8"/>
  <c r="AC429" i="8"/>
  <c r="AC430" i="8"/>
  <c r="AC431" i="8"/>
  <c r="AC432" i="8"/>
  <c r="AC433" i="8"/>
  <c r="AC434" i="8"/>
  <c r="AC435" i="8"/>
  <c r="AE268" i="8"/>
  <c r="AD268" i="8"/>
  <c r="AC268" i="8"/>
  <c r="E23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3" i="8"/>
  <c r="E114" i="8"/>
  <c r="E112" i="8"/>
  <c r="E111" i="8"/>
  <c r="E110" i="8"/>
  <c r="E109" i="8"/>
  <c r="E108" i="8"/>
  <c r="E107" i="8"/>
  <c r="E106" i="8"/>
  <c r="E105" i="8"/>
  <c r="E104" i="8"/>
  <c r="E103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R509" i="8" l="1"/>
  <c r="R512" i="8"/>
  <c r="Q509" i="8"/>
  <c r="Q512" i="8"/>
  <c r="R503" i="8"/>
  <c r="Q503" i="8"/>
  <c r="P509" i="8"/>
  <c r="P512" i="8"/>
  <c r="M509" i="8"/>
  <c r="M512" i="8"/>
  <c r="J512" i="8"/>
  <c r="K512" i="8"/>
  <c r="L512" i="8"/>
  <c r="N512" i="8"/>
  <c r="O512" i="8"/>
  <c r="P503" i="8"/>
  <c r="J503" i="8"/>
  <c r="J500" i="8"/>
  <c r="P500" i="8"/>
  <c r="M503" i="8"/>
  <c r="K503" i="8"/>
  <c r="N500" i="8"/>
  <c r="N503" i="8"/>
  <c r="O500" i="8"/>
  <c r="AA509" i="8" l="1"/>
  <c r="L500" i="8"/>
  <c r="L503" i="8"/>
  <c r="M500" i="8"/>
  <c r="AA500" i="8" l="1"/>
</calcChain>
</file>

<file path=xl/sharedStrings.xml><?xml version="1.0" encoding="utf-8"?>
<sst xmlns="http://schemas.openxmlformats.org/spreadsheetml/2006/main" count="4373" uniqueCount="717">
  <si>
    <t>Digit 1</t>
  </si>
  <si>
    <t>Digit 2</t>
  </si>
  <si>
    <t>Digit 3</t>
  </si>
  <si>
    <t>Digit 4</t>
  </si>
  <si>
    <t>Freeman</t>
  </si>
  <si>
    <t>Missisinewa</t>
  </si>
  <si>
    <t>Salamonie</t>
  </si>
  <si>
    <t>Schafer</t>
  </si>
  <si>
    <t>Boat</t>
  </si>
  <si>
    <t>Shore</t>
  </si>
  <si>
    <t>Example:</t>
  </si>
  <si>
    <t>Mississinewa</t>
  </si>
  <si>
    <t>Sample Location</t>
  </si>
  <si>
    <t>Sample Type</t>
  </si>
  <si>
    <t>Lake</t>
  </si>
  <si>
    <t>Number:</t>
  </si>
  <si>
    <t>Date</t>
  </si>
  <si>
    <t>MISS</t>
  </si>
  <si>
    <t>SHAF</t>
  </si>
  <si>
    <t>SALA</t>
  </si>
  <si>
    <t>UniqueID</t>
  </si>
  <si>
    <t>BottleNo</t>
  </si>
  <si>
    <t>10202022FM1</t>
  </si>
  <si>
    <t>10202022FM2</t>
  </si>
  <si>
    <t>10202022FM3</t>
  </si>
  <si>
    <t>10202022FM4</t>
  </si>
  <si>
    <t>20230310-1</t>
  </si>
  <si>
    <t>20230310-2</t>
  </si>
  <si>
    <t>20230310-3</t>
  </si>
  <si>
    <t>20230310-4</t>
  </si>
  <si>
    <t>20230310-5</t>
  </si>
  <si>
    <t>20230310-6</t>
  </si>
  <si>
    <t>20230310-7</t>
  </si>
  <si>
    <t>20230310-8</t>
  </si>
  <si>
    <t>20230310-9</t>
  </si>
  <si>
    <t>20230310-10</t>
  </si>
  <si>
    <t>20230310-11</t>
  </si>
  <si>
    <t>20230310-12</t>
  </si>
  <si>
    <t>20230310-13</t>
  </si>
  <si>
    <t>20230310-14</t>
  </si>
  <si>
    <t>20230310-15</t>
  </si>
  <si>
    <t>20230310-16</t>
  </si>
  <si>
    <t>20230310-17</t>
  </si>
  <si>
    <t>20230310-18</t>
  </si>
  <si>
    <t>20230310-19</t>
  </si>
  <si>
    <t>20230407-1</t>
  </si>
  <si>
    <t>20230407-2</t>
  </si>
  <si>
    <t>20230407-3</t>
  </si>
  <si>
    <t>20230407-4</t>
  </si>
  <si>
    <t>20230407-5</t>
  </si>
  <si>
    <t>20230407-6</t>
  </si>
  <si>
    <t>20230407-7</t>
  </si>
  <si>
    <t>20230407-8</t>
  </si>
  <si>
    <t>20230424-1</t>
  </si>
  <si>
    <t>20230424-2</t>
  </si>
  <si>
    <t>20230424-3</t>
  </si>
  <si>
    <t>20230424-4</t>
  </si>
  <si>
    <t>20230424-5</t>
  </si>
  <si>
    <t>20230424-6</t>
  </si>
  <si>
    <t>20230424-7</t>
  </si>
  <si>
    <t>20230424-8</t>
  </si>
  <si>
    <t>20230424-9</t>
  </si>
  <si>
    <t>20230424-10</t>
  </si>
  <si>
    <t>20230424-11</t>
  </si>
  <si>
    <t>20230424-12</t>
  </si>
  <si>
    <t>20230424-13</t>
  </si>
  <si>
    <t>20230510-S1</t>
  </si>
  <si>
    <t>20230510-S2</t>
  </si>
  <si>
    <t>20230510-S3</t>
  </si>
  <si>
    <t>20230510-S4</t>
  </si>
  <si>
    <t>20230510-S5</t>
  </si>
  <si>
    <t>20230510-S6</t>
  </si>
  <si>
    <t>20230510-S7</t>
  </si>
  <si>
    <t>20230510-S8</t>
  </si>
  <si>
    <t>20230510-S9</t>
  </si>
  <si>
    <t>20230510-S10</t>
  </si>
  <si>
    <t>20230510-S11</t>
  </si>
  <si>
    <t>20230510-S12</t>
  </si>
  <si>
    <t>20230510-AS21</t>
  </si>
  <si>
    <t>20230510-AS22</t>
  </si>
  <si>
    <t>20230517-1</t>
  </si>
  <si>
    <t>20230517-2</t>
  </si>
  <si>
    <t>20230517-3</t>
  </si>
  <si>
    <t>20230517-4</t>
  </si>
  <si>
    <t>20230517-5</t>
  </si>
  <si>
    <t>20230517-6</t>
  </si>
  <si>
    <t>20230517-7</t>
  </si>
  <si>
    <t>20230517-8</t>
  </si>
  <si>
    <t>20230517-9</t>
  </si>
  <si>
    <t>20230522-K1</t>
  </si>
  <si>
    <t>20230522-K2</t>
  </si>
  <si>
    <t>20230522-K4</t>
  </si>
  <si>
    <t>20230522-K5</t>
  </si>
  <si>
    <t>20230522-K6</t>
  </si>
  <si>
    <t>20230522-K7</t>
  </si>
  <si>
    <t>20230522-K8</t>
  </si>
  <si>
    <t>20230522-K9</t>
  </si>
  <si>
    <t>20230522-10</t>
  </si>
  <si>
    <t>20230522-11</t>
  </si>
  <si>
    <t>20230522-12</t>
  </si>
  <si>
    <t>20230522-13</t>
  </si>
  <si>
    <t>20230522-14</t>
  </si>
  <si>
    <t>20230522-15</t>
  </si>
  <si>
    <t>20230522-16</t>
  </si>
  <si>
    <t>20230522-17</t>
  </si>
  <si>
    <t>20230522-18</t>
  </si>
  <si>
    <t>20230522-19</t>
  </si>
  <si>
    <t>20230522-20</t>
  </si>
  <si>
    <t>20230522-21</t>
  </si>
  <si>
    <t/>
  </si>
  <si>
    <t>20230525-1</t>
  </si>
  <si>
    <t>20230525-2</t>
  </si>
  <si>
    <t>20230525-3</t>
  </si>
  <si>
    <t>20230525-4</t>
  </si>
  <si>
    <t>20230525-6</t>
  </si>
  <si>
    <t>20230525-7</t>
  </si>
  <si>
    <t>20230525-8</t>
  </si>
  <si>
    <t>20230525-9</t>
  </si>
  <si>
    <t>20230525-10</t>
  </si>
  <si>
    <t>20230525-11</t>
  </si>
  <si>
    <t>20230525-13</t>
  </si>
  <si>
    <t>20230525-14</t>
  </si>
  <si>
    <t>20230525-15</t>
  </si>
  <si>
    <t>20230525-16</t>
  </si>
  <si>
    <t>20230531-1</t>
  </si>
  <si>
    <t>20230531-2</t>
  </si>
  <si>
    <t>20230531-3</t>
  </si>
  <si>
    <t>20230531-4</t>
  </si>
  <si>
    <t>20230531-5</t>
  </si>
  <si>
    <t>20230531-6</t>
  </si>
  <si>
    <t>20230531-7</t>
  </si>
  <si>
    <t>20230531-8</t>
  </si>
  <si>
    <t>20230608-SALA-S1</t>
  </si>
  <si>
    <t>20230608-SALA-S2</t>
  </si>
  <si>
    <t>20230608-SALA-S3</t>
  </si>
  <si>
    <t>20230608-SALA-S4</t>
  </si>
  <si>
    <t>20230608-SALA-S5</t>
  </si>
  <si>
    <t>20230608-SALA-S6</t>
  </si>
  <si>
    <t>20230608-SALA-S7</t>
  </si>
  <si>
    <t>20230608-SALA-S8</t>
  </si>
  <si>
    <t>20230609-FREE-S1</t>
  </si>
  <si>
    <t>20230609-FREE-S2</t>
  </si>
  <si>
    <t>20230609-FREE-S3</t>
  </si>
  <si>
    <t>20230609-FREE-S4</t>
  </si>
  <si>
    <t>20230609-FREE-S5</t>
  </si>
  <si>
    <t>20230609-FREE-BR1</t>
  </si>
  <si>
    <t>20230615-1</t>
  </si>
  <si>
    <t>20230615-2</t>
  </si>
  <si>
    <t>20230615-3</t>
  </si>
  <si>
    <t>20230615-4</t>
  </si>
  <si>
    <t>20230615-5</t>
  </si>
  <si>
    <t>20230615-6</t>
  </si>
  <si>
    <t>20230615-7</t>
  </si>
  <si>
    <t>20230615-8</t>
  </si>
  <si>
    <t>20230620-SHAF-S2</t>
  </si>
  <si>
    <t>20230620-SHAF-S3</t>
  </si>
  <si>
    <t>20230620-SHAF-S4</t>
  </si>
  <si>
    <t>20230620-FREE-S1</t>
  </si>
  <si>
    <t>20230620-FREE-S2</t>
  </si>
  <si>
    <t>20230620-FREE-S3</t>
  </si>
  <si>
    <t>20230620-FREE-S4</t>
  </si>
  <si>
    <t>20230620-FREE-S5</t>
  </si>
  <si>
    <t>20230623-SALA-B1</t>
  </si>
  <si>
    <t>20230623-SALA-B2</t>
  </si>
  <si>
    <t>20230623-SALA-B3</t>
  </si>
  <si>
    <t>20230623-SALA-B4</t>
  </si>
  <si>
    <t>20230623-SALA-B5</t>
  </si>
  <si>
    <t>20230623-SALA-B6</t>
  </si>
  <si>
    <t>20230623-SALA-B7</t>
  </si>
  <si>
    <t>20230623-SALA-B8</t>
  </si>
  <si>
    <t>20230623-SALA-B9</t>
  </si>
  <si>
    <t>20230623-SALA-B10</t>
  </si>
  <si>
    <t>20230623-SALA-B11</t>
  </si>
  <si>
    <t>20230623-SALA-B12</t>
  </si>
  <si>
    <t>20230623-SALA-B13</t>
  </si>
  <si>
    <t>20230627-MISS-S1</t>
  </si>
  <si>
    <t>20230627-MISS-S2</t>
  </si>
  <si>
    <t>20230627-MISS-S3</t>
  </si>
  <si>
    <t>20230627-MISS-S4</t>
  </si>
  <si>
    <t>20230627-MISS-S5</t>
  </si>
  <si>
    <t>20230627-MISS-S6</t>
  </si>
  <si>
    <t>20230627-MISS-S7</t>
  </si>
  <si>
    <t>20230627-MISS-S8</t>
  </si>
  <si>
    <t>20230630-SHAF-S2</t>
  </si>
  <si>
    <t>20230630-SHAF-S3</t>
  </si>
  <si>
    <t>20230630-SHAF-S4</t>
  </si>
  <si>
    <t>20230630-FREE-S1</t>
  </si>
  <si>
    <t>20230630-FREE-S2</t>
  </si>
  <si>
    <t>20230630-FREE-S3</t>
  </si>
  <si>
    <t>20230630-FREE-S4</t>
  </si>
  <si>
    <t>20230630-FREE-S5</t>
  </si>
  <si>
    <t>20230706-SALA-S1</t>
  </si>
  <si>
    <t>20230706-SALA-S2</t>
  </si>
  <si>
    <t>20230706-SALA-S3</t>
  </si>
  <si>
    <t>20230706-SALA-S4</t>
  </si>
  <si>
    <t>20230706-SALA-S6</t>
  </si>
  <si>
    <t>20230706-SALA-S7</t>
  </si>
  <si>
    <t>20230706-SALA-S8</t>
  </si>
  <si>
    <t>20230711-MISS-B1</t>
  </si>
  <si>
    <t>20230711-MISS-B2</t>
  </si>
  <si>
    <t>20230711-MISS-B3</t>
  </si>
  <si>
    <t>20230711-MISS-B4</t>
  </si>
  <si>
    <t>20230711-MISS-B5</t>
  </si>
  <si>
    <t>20230711-MISS-B6</t>
  </si>
  <si>
    <t>20230711-MISS-B7</t>
  </si>
  <si>
    <t>20230711-MISS-B8</t>
  </si>
  <si>
    <t>20230711-MISS-B9</t>
  </si>
  <si>
    <t>20230711-MISS-B10</t>
  </si>
  <si>
    <t>20230713-SHAF-S2</t>
  </si>
  <si>
    <t>20230713-SHAF-S3</t>
  </si>
  <si>
    <t>20230713-SHAF-S4</t>
  </si>
  <si>
    <t>20230713-FREE-S1</t>
  </si>
  <si>
    <t>20230713-FREE-S2</t>
  </si>
  <si>
    <t>20230713-FREE-S3</t>
  </si>
  <si>
    <t>20230713-FREE-S4</t>
  </si>
  <si>
    <t>20230713-FREE-S5</t>
  </si>
  <si>
    <t>20230718-SHAF-S2</t>
  </si>
  <si>
    <t>20230718-SHAF-S3</t>
  </si>
  <si>
    <t>20230718-SHAF-S4</t>
  </si>
  <si>
    <t>20230718-FREE-S1</t>
  </si>
  <si>
    <t>20230718-FREE-S2</t>
  </si>
  <si>
    <t>20230718-FREE-S3</t>
  </si>
  <si>
    <t>20230718-FREE-S4</t>
  </si>
  <si>
    <t>20230718-FREE-S5</t>
  </si>
  <si>
    <t>20230721-SALA-B1</t>
  </si>
  <si>
    <t>20230721-SALA-B2</t>
  </si>
  <si>
    <t>20230721-SALA-B3</t>
  </si>
  <si>
    <t>20230721-SALA-B4</t>
  </si>
  <si>
    <t>20230721-SALA-B5</t>
  </si>
  <si>
    <t>20230721-SALA-B6</t>
  </si>
  <si>
    <t>20230721-SALA-B7</t>
  </si>
  <si>
    <t>20230721-SALA-B8</t>
  </si>
  <si>
    <t>20230721-SALA-B9</t>
  </si>
  <si>
    <t>20230721-SALA-B10</t>
  </si>
  <si>
    <t>20230721-SALA-B11</t>
  </si>
  <si>
    <t>20230721-SALA-B12</t>
  </si>
  <si>
    <t>20230721-SALA-B13</t>
  </si>
  <si>
    <t>20230727-MISS-B1</t>
  </si>
  <si>
    <t>20230727-MISS-B2</t>
  </si>
  <si>
    <t>20230727-MISS-B3</t>
  </si>
  <si>
    <t>20230727-MISS-B4</t>
  </si>
  <si>
    <t>20230727-MISS-B5</t>
  </si>
  <si>
    <t>20230727-MISS-B6</t>
  </si>
  <si>
    <t>20230727-MISS-B7</t>
  </si>
  <si>
    <t>20230727-MISS-B8</t>
  </si>
  <si>
    <t>20230727-MISS-B9</t>
  </si>
  <si>
    <t>20230727-MISS-B10</t>
  </si>
  <si>
    <t>20230727-MISS-B11</t>
  </si>
  <si>
    <t>20230727-MISS-B12</t>
  </si>
  <si>
    <t>20230727-MISS-B13</t>
  </si>
  <si>
    <t>20230727-MISS-B14</t>
  </si>
  <si>
    <t>20230727-MISS-B15</t>
  </si>
  <si>
    <t>20230801-FREE-B1</t>
  </si>
  <si>
    <t>20230801-FREE-B2</t>
  </si>
  <si>
    <t>20230801-FREE-B3</t>
  </si>
  <si>
    <t>20230801-FREE-B4</t>
  </si>
  <si>
    <t>20230801-FREE-B5</t>
  </si>
  <si>
    <t>20230801-FREE-B6</t>
  </si>
  <si>
    <t>20230801-FREE-B7</t>
  </si>
  <si>
    <t>20230801-FREE-B8</t>
  </si>
  <si>
    <t>20230801-FREE-B9</t>
  </si>
  <si>
    <t>20230801-FREE-B10</t>
  </si>
  <si>
    <t>20230801-FREE-B11</t>
  </si>
  <si>
    <t>20230801-FREE-B12</t>
  </si>
  <si>
    <t>20230801-FREE-B13</t>
  </si>
  <si>
    <t>20230801-FREE-B14</t>
  </si>
  <si>
    <t>20230801-FREE-B15</t>
  </si>
  <si>
    <t>20230804-SALA-B1</t>
  </si>
  <si>
    <t>20230804-SALA-B2</t>
  </si>
  <si>
    <t>20230804-SALA-B3</t>
  </si>
  <si>
    <t>20230804-SALA-B4</t>
  </si>
  <si>
    <t>20230804-SALA-B5</t>
  </si>
  <si>
    <t>20230804-SALA-B6</t>
  </si>
  <si>
    <t>20230804-SALA-B7</t>
  </si>
  <si>
    <t>20230804-SALA-B8</t>
  </si>
  <si>
    <t>20230804-SALA-B9</t>
  </si>
  <si>
    <t>20230804-SALA-B10</t>
  </si>
  <si>
    <t>20230804-SALA-B11</t>
  </si>
  <si>
    <t>20230804-SALA-B12</t>
  </si>
  <si>
    <t>20230804-SALA-B13</t>
  </si>
  <si>
    <t>2023922-FM-B1</t>
  </si>
  <si>
    <t>2023922-FM-B2</t>
  </si>
  <si>
    <t>2023922-FM-B3</t>
  </si>
  <si>
    <t>2023922-FM-B4</t>
  </si>
  <si>
    <t>Location No</t>
  </si>
  <si>
    <t>NumID</t>
  </si>
  <si>
    <t>True Bottle ID</t>
  </si>
  <si>
    <t>20240516-MISS-B1</t>
  </si>
  <si>
    <t>20240516-MISS-B2</t>
  </si>
  <si>
    <t>20240516-MISS-B3</t>
  </si>
  <si>
    <t>20240516-MISS-B4</t>
  </si>
  <si>
    <t>20240516-MISS-B5</t>
  </si>
  <si>
    <t>20240516-MISS-B6</t>
  </si>
  <si>
    <t>20240516-MISS-B7</t>
  </si>
  <si>
    <t>20240516-MISS-B8</t>
  </si>
  <si>
    <t>20240516-MISS-B9</t>
  </si>
  <si>
    <t>20240516-MISS-B10</t>
  </si>
  <si>
    <t>20240516-MISS-B11</t>
  </si>
  <si>
    <t>20240516-MISS-B12</t>
  </si>
  <si>
    <t>20240516-MISS-B13</t>
  </si>
  <si>
    <t>20240530-MISS-S1</t>
  </si>
  <si>
    <t>20240530-MISS-S2</t>
  </si>
  <si>
    <t>20240530-MISS-S3</t>
  </si>
  <si>
    <t>20240530-MISS-S4</t>
  </si>
  <si>
    <t>20240530-MISS-S5</t>
  </si>
  <si>
    <t>20240530-MISS-S6</t>
  </si>
  <si>
    <t>20240530-MISS-S7</t>
  </si>
  <si>
    <t>20240530-MISS-S8</t>
  </si>
  <si>
    <t>20240604-SHAF-B6</t>
  </si>
  <si>
    <t>20240604-SHAF-B8</t>
  </si>
  <si>
    <t>20240604-SHAF-B9</t>
  </si>
  <si>
    <t>20240604-SHAF-B10</t>
  </si>
  <si>
    <t>20240604-SHAF-B11</t>
  </si>
  <si>
    <t>20240604-SHAF-B12</t>
  </si>
  <si>
    <t>20240604-SHAF-B14</t>
  </si>
  <si>
    <t>20240604-SHAF-B15</t>
  </si>
  <si>
    <t>20240606-SALA-B1</t>
  </si>
  <si>
    <t>20240606-SALA-B2</t>
  </si>
  <si>
    <t>20240606-SALA-B3</t>
  </si>
  <si>
    <t>20240606-SALA-B4</t>
  </si>
  <si>
    <t>20240606-SALA-B5</t>
  </si>
  <si>
    <t>20240606-SALA-B6</t>
  </si>
  <si>
    <t>20240606-SALA-B7</t>
  </si>
  <si>
    <t>20240606-SALA-B8</t>
  </si>
  <si>
    <t>20240606-SALA-B9</t>
  </si>
  <si>
    <t>20240606-SALA-B10</t>
  </si>
  <si>
    <t>20240606-SALA-B13</t>
  </si>
  <si>
    <t>20240606-SALA-B14</t>
  </si>
  <si>
    <t>20240612-MISS-B1</t>
  </si>
  <si>
    <t>20240612-MISS-B2</t>
  </si>
  <si>
    <t>20240612-MISS-B3</t>
  </si>
  <si>
    <t>20240612-MISS-B4</t>
  </si>
  <si>
    <t>20240612-MISS-B5</t>
  </si>
  <si>
    <t>20240612-MISS-B6</t>
  </si>
  <si>
    <t>20240612-MISS-B7</t>
  </si>
  <si>
    <t>20240612-MISS-B8</t>
  </si>
  <si>
    <t>20240612-MISS-B9</t>
  </si>
  <si>
    <t>20240612-MISS-B10</t>
  </si>
  <si>
    <t>20240612-MISS-B11</t>
  </si>
  <si>
    <t>20240612-MISS-B12</t>
  </si>
  <si>
    <t>20240612-MISS-B13</t>
  </si>
  <si>
    <t>20240613-SHAF-B1</t>
  </si>
  <si>
    <t>20240613-SHAF-B5</t>
  </si>
  <si>
    <t>20240613-SHAF-B6</t>
  </si>
  <si>
    <t>20240613-SHAF-B8</t>
  </si>
  <si>
    <t>20240613-SHAF-B9</t>
  </si>
  <si>
    <t>20240613-SHAF-B10</t>
  </si>
  <si>
    <t>20240613-SHAF-B11</t>
  </si>
  <si>
    <t>20240613-SHAF-B12</t>
  </si>
  <si>
    <t>20240613-SHAF-B14</t>
  </si>
  <si>
    <t>20240613-SHAF-B15</t>
  </si>
  <si>
    <t>20240617-SALA-B1</t>
  </si>
  <si>
    <t>20240617-SALA-B2</t>
  </si>
  <si>
    <t>20240617-SALA-B3</t>
  </si>
  <si>
    <t>20240617-SALA-B4</t>
  </si>
  <si>
    <t>20240617-SALA-B5</t>
  </si>
  <si>
    <t>20240617-SALA-B6</t>
  </si>
  <si>
    <t>20240617-SALA-B7</t>
  </si>
  <si>
    <t>20240617-SALA-B8</t>
  </si>
  <si>
    <t>20240617-SALA-B9</t>
  </si>
  <si>
    <t>20240617-SALA-B10</t>
  </si>
  <si>
    <t>20240617-SALA-B13</t>
  </si>
  <si>
    <t>20240617-SALA-B14</t>
  </si>
  <si>
    <t>20240619-SHAF-B5</t>
  </si>
  <si>
    <t>20240619-SHAF-B6</t>
  </si>
  <si>
    <t>20240619-SHAF-B8</t>
  </si>
  <si>
    <t>20240619-SHAF-B9</t>
  </si>
  <si>
    <t>20240619-SHAF-B10</t>
  </si>
  <si>
    <t>20240619-SHAF-B11</t>
  </si>
  <si>
    <t>20240619-SHAF-B12</t>
  </si>
  <si>
    <t>20240619-SHAF-B14</t>
  </si>
  <si>
    <t>20240619-SHAF-B15</t>
  </si>
  <si>
    <t>20240624-MISS-B1</t>
  </si>
  <si>
    <t>20240624-MISS-B2</t>
  </si>
  <si>
    <t>20240624-MISS-B3</t>
  </si>
  <si>
    <t>20240624-MISS-B4</t>
  </si>
  <si>
    <t>20240624-MISS-B5</t>
  </si>
  <si>
    <t>20240624-MISS-B6</t>
  </si>
  <si>
    <t>20240624-MISS-B7</t>
  </si>
  <si>
    <t>20240624-MISS-B8</t>
  </si>
  <si>
    <t>20240624-MISS-B9</t>
  </si>
  <si>
    <t>20240624-MISS-B10</t>
  </si>
  <si>
    <t>20240624-MISS-B11</t>
  </si>
  <si>
    <t>20240624-MISS-B12</t>
  </si>
  <si>
    <t>20240624-MISS-B13</t>
  </si>
  <si>
    <t>20240627-SALA-B1</t>
  </si>
  <si>
    <t>20240627-SALA-B2</t>
  </si>
  <si>
    <t>20240627-SALA-B3</t>
  </si>
  <si>
    <t>20240627-SALA-B4</t>
  </si>
  <si>
    <t>20240627-SALA-B5</t>
  </si>
  <si>
    <t>20240627-SALA-B6</t>
  </si>
  <si>
    <t>20240627-SALA-B7</t>
  </si>
  <si>
    <t>20240627-SALA-B8</t>
  </si>
  <si>
    <t>20240627-SALA-B9</t>
  </si>
  <si>
    <t>20240627-SALA-B10</t>
  </si>
  <si>
    <t>20240627-SALA-B13</t>
  </si>
  <si>
    <t>20240627-SALA-B14</t>
  </si>
  <si>
    <t>20240701-SHAF-B1</t>
  </si>
  <si>
    <t>20240701-SHAF-B5</t>
  </si>
  <si>
    <t>20240701-SHAF-B6</t>
  </si>
  <si>
    <t>20240701-SHAF-B8</t>
  </si>
  <si>
    <t>20240701-SHAF-B9</t>
  </si>
  <si>
    <t>20240701-SHAF-B10</t>
  </si>
  <si>
    <t>20240701-SHAF-B11</t>
  </si>
  <si>
    <t>20240701-SHAF-B12</t>
  </si>
  <si>
    <t>20240701-SHAF-B14</t>
  </si>
  <si>
    <t>20240701-SHAF-B15</t>
  </si>
  <si>
    <t>20240711-MISS-S9</t>
  </si>
  <si>
    <t>20240711-MISS-S10</t>
  </si>
  <si>
    <t>20240711-MISS-S11</t>
  </si>
  <si>
    <t>20240711-MISS-S12</t>
  </si>
  <si>
    <t>20240717-SHAF-B5</t>
  </si>
  <si>
    <t>20240717-SHAF-B6</t>
  </si>
  <si>
    <t>20240717-SHAF-B8</t>
  </si>
  <si>
    <t>20240717-SHAF-B9</t>
  </si>
  <si>
    <t>20240717-SHAF-B10</t>
  </si>
  <si>
    <t>20240717-SHAF-B11</t>
  </si>
  <si>
    <t>20240717-SHAF-B12</t>
  </si>
  <si>
    <t>20240717-SHAF-B14</t>
  </si>
  <si>
    <t>20240717-SHAF-B15</t>
  </si>
  <si>
    <t>20240718-MISS-B1</t>
  </si>
  <si>
    <t>20240718-MISS-B2</t>
  </si>
  <si>
    <t>20240718-MISS-B3</t>
  </si>
  <si>
    <t>20240718-MISS-B4</t>
  </si>
  <si>
    <t>20240718-MISS-B5</t>
  </si>
  <si>
    <t>20240718-MISS-B6</t>
  </si>
  <si>
    <t>20240718-MISS-B7</t>
  </si>
  <si>
    <t>20240718-MISS-B8</t>
  </si>
  <si>
    <t>20240718-MISS-B9</t>
  </si>
  <si>
    <t>20240718-MISS-B10</t>
  </si>
  <si>
    <t>20240718-MISS-B11</t>
  </si>
  <si>
    <t>20240718-MISS-B12</t>
  </si>
  <si>
    <t>20240718-MISS-B13</t>
  </si>
  <si>
    <t>20240722-SHAF-B1</t>
  </si>
  <si>
    <t>20240722-SHAF-B5</t>
  </si>
  <si>
    <t>20240722-SHAF-B6</t>
  </si>
  <si>
    <t>20240722-SHAF-B8</t>
  </si>
  <si>
    <t>20240722-SHAF-B9</t>
  </si>
  <si>
    <t>20240722-SHAF-B10</t>
  </si>
  <si>
    <t>20240722-SHAF-B11</t>
  </si>
  <si>
    <t>20240722-SHAF-B12</t>
  </si>
  <si>
    <t>20240722-SHAF-B14</t>
  </si>
  <si>
    <t>20240722-SHAF-B15</t>
  </si>
  <si>
    <t>20240723-SALA-B1</t>
  </si>
  <si>
    <t>20240723-SALA-B2</t>
  </si>
  <si>
    <t>20240723-SALA-B3</t>
  </si>
  <si>
    <t>20240723-SALA-B4</t>
  </si>
  <si>
    <t>20240723-SALA-B5</t>
  </si>
  <si>
    <t>20240723-SALA-B6</t>
  </si>
  <si>
    <t>20240723-SALA-B7</t>
  </si>
  <si>
    <t>20240723-SALA-B8</t>
  </si>
  <si>
    <t>20240723-SALA-B9</t>
  </si>
  <si>
    <t>20240723-SALA-B10</t>
  </si>
  <si>
    <t>20240723-SALA-B13</t>
  </si>
  <si>
    <t>20240723-SALA-B14</t>
  </si>
  <si>
    <t>20230801-SHAF-B5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</si>
  <si>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</si>
  <si>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</si>
  <si>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</si>
  <si>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</si>
  <si>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</si>
  <si>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</si>
  <si>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</si>
  <si>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</si>
  <si>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</si>
  <si>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</si>
  <si>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</si>
  <si>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</si>
  <si>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</si>
  <si>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2201</t>
  </si>
  <si>
    <t>2202</t>
  </si>
  <si>
    <t>2203</t>
  </si>
  <si>
    <t>2204</t>
  </si>
  <si>
    <t>2205</t>
  </si>
  <si>
    <t>2206</t>
  </si>
  <si>
    <t>2207</t>
  </si>
  <si>
    <t>2208</t>
  </si>
  <si>
    <t>4106</t>
  </si>
  <si>
    <t>4108</t>
  </si>
  <si>
    <t>4109</t>
  </si>
  <si>
    <t>4110</t>
  </si>
  <si>
    <t>4111</t>
  </si>
  <si>
    <t>4112</t>
  </si>
  <si>
    <t>4114</t>
  </si>
  <si>
    <t>4115</t>
  </si>
  <si>
    <t>3101</t>
  </si>
  <si>
    <t>3102</t>
  </si>
  <si>
    <t>3103</t>
  </si>
  <si>
    <t>3104</t>
  </si>
  <si>
    <t>3105</t>
  </si>
  <si>
    <t>3106</t>
  </si>
  <si>
    <t>3107</t>
  </si>
  <si>
    <t>3108</t>
  </si>
  <si>
    <t>3109</t>
  </si>
  <si>
    <t>3110</t>
  </si>
  <si>
    <t>3113</t>
  </si>
  <si>
    <t>3114</t>
  </si>
  <si>
    <t>4101</t>
  </si>
  <si>
    <t>4105</t>
  </si>
  <si>
    <t>2209</t>
  </si>
  <si>
    <t>2210</t>
  </si>
  <si>
    <t>2211</t>
  </si>
  <si>
    <t>2212</t>
  </si>
  <si>
    <t>4102</t>
  </si>
  <si>
    <t>Sampling Type (B/S)</t>
  </si>
  <si>
    <t>Lake ID (4 dig.)</t>
  </si>
  <si>
    <t>Bridge</t>
  </si>
  <si>
    <t>Kayak</t>
  </si>
  <si>
    <t>FREE</t>
  </si>
  <si>
    <t>NULL</t>
  </si>
  <si>
    <t>?</t>
  </si>
  <si>
    <t>20221020-FREE-B1</t>
  </si>
  <si>
    <t>20221020-FREE-B2</t>
  </si>
  <si>
    <t>20230310-SHAF-S?</t>
  </si>
  <si>
    <t>20230407-MISS-S?</t>
  </si>
  <si>
    <t>20230407-SALA-S?</t>
  </si>
  <si>
    <t>20230424-SHAF-B1</t>
  </si>
  <si>
    <t>20230424-SHAF-B2</t>
  </si>
  <si>
    <t>20230424-SHAF-B3</t>
  </si>
  <si>
    <t>20230424-SHAF-B4</t>
  </si>
  <si>
    <t>20230424-SHAF-B5</t>
  </si>
  <si>
    <t>20230424-SHAF-B8</t>
  </si>
  <si>
    <t>20230424-SHAF-B9</t>
  </si>
  <si>
    <t>20230424-SHAF-B10</t>
  </si>
  <si>
    <t>20230424-SHAF-B11</t>
  </si>
  <si>
    <t>20230424-SHAF-B12</t>
  </si>
  <si>
    <t>20230424-SHAF-S?</t>
  </si>
  <si>
    <t>20230510-MISS-S?</t>
  </si>
  <si>
    <t>20230517-FREE-B1</t>
  </si>
  <si>
    <t>20230517-FREE-B2</t>
  </si>
  <si>
    <t>20230517-FREE-B3</t>
  </si>
  <si>
    <t>20230522-SALA-S?</t>
  </si>
  <si>
    <t>-SALA-S?</t>
  </si>
  <si>
    <t>20230525-SHAF-B1</t>
  </si>
  <si>
    <t>20230525-SHAF-B2</t>
  </si>
  <si>
    <t>20230525-SHAF-B3</t>
  </si>
  <si>
    <t>20230525-SHAF-B4</t>
  </si>
  <si>
    <t>20230525-SHAF-B6</t>
  </si>
  <si>
    <t>20230525-SHAF-B7</t>
  </si>
  <si>
    <t>20230525-SHAF-B8</t>
  </si>
  <si>
    <t>20230525-SHAF-B9</t>
  </si>
  <si>
    <t>20230525-SHAF-B10</t>
  </si>
  <si>
    <t>20230525-SHAF-B11</t>
  </si>
  <si>
    <t>20230525-SHAF-B13</t>
  </si>
  <si>
    <t>20230525-SHAF-S?</t>
  </si>
  <si>
    <t>20230531-MISS-S?</t>
  </si>
  <si>
    <t>-MISS-S?</t>
  </si>
  <si>
    <t>20230608-SALA-S?</t>
  </si>
  <si>
    <t>20230609-FREE-S?</t>
  </si>
  <si>
    <t>20230615-MISS-S?</t>
  </si>
  <si>
    <t>20230620-SHAF-S?</t>
  </si>
  <si>
    <t>20230620-FREE-S?</t>
  </si>
  <si>
    <t>20230627-MISS-S?</t>
  </si>
  <si>
    <t>20230630-SHAF-S?</t>
  </si>
  <si>
    <t>20230630-FREE-S?</t>
  </si>
  <si>
    <t>20230706-SALA-S?</t>
  </si>
  <si>
    <t>20230713-SHAF-S?</t>
  </si>
  <si>
    <t>20230713-FREE-S?</t>
  </si>
  <si>
    <t>20230718-SHAF-S?</t>
  </si>
  <si>
    <t>20230718-FREE-S?</t>
  </si>
  <si>
    <t>20230801-SHAF-B2</t>
  </si>
  <si>
    <t>20230801-SHAF-BLL</t>
  </si>
  <si>
    <t>20230801-SHAF-B4</t>
  </si>
  <si>
    <t>20230801-SHAF-B6</t>
  </si>
  <si>
    <t>20230801-SHAF-B7</t>
  </si>
  <si>
    <t>20230801-SHAF-B8</t>
  </si>
  <si>
    <t>20230801-SHAF-B9</t>
  </si>
  <si>
    <t>20230801-SHAF-B10</t>
  </si>
  <si>
    <t>20230801-SHAF-B11</t>
  </si>
  <si>
    <t>20230801-SHAF-B12</t>
  </si>
  <si>
    <t>20230801-SHAF-B14</t>
  </si>
  <si>
    <t>20230801-SHAF-B15</t>
  </si>
  <si>
    <t>20230922-FREE-B1</t>
  </si>
  <si>
    <t>20230922-FREE-B2</t>
  </si>
  <si>
    <t>20230922-FREE-B3</t>
  </si>
  <si>
    <t>20230922-FREE-B11</t>
  </si>
  <si>
    <t>NH4Results</t>
  </si>
  <si>
    <t>NOxResults</t>
  </si>
  <si>
    <t>PO4Results</t>
  </si>
  <si>
    <t>TPResults</t>
  </si>
  <si>
    <t>Lat</t>
  </si>
  <si>
    <t>Long</t>
  </si>
  <si>
    <t>Month</t>
  </si>
  <si>
    <t>Day</t>
  </si>
  <si>
    <t>Year</t>
  </si>
  <si>
    <t>Exclude</t>
  </si>
  <si>
    <t>Microcystin Concentration</t>
  </si>
  <si>
    <t>20240731-MISS-B1</t>
  </si>
  <si>
    <t>20240731-MISS-B2</t>
  </si>
  <si>
    <t>20240731-MISS-B3</t>
  </si>
  <si>
    <t>20240731-MISS-B4</t>
  </si>
  <si>
    <t>20240731-MISS-B5</t>
  </si>
  <si>
    <t>20240731-MISS-B6</t>
  </si>
  <si>
    <t>20240731-MISS-B7</t>
  </si>
  <si>
    <t>20240731-MISS-B8</t>
  </si>
  <si>
    <t>20240731-MISS-B9</t>
  </si>
  <si>
    <t>20240731-MISS-B10</t>
  </si>
  <si>
    <t>20240731-MISS-B11</t>
  </si>
  <si>
    <t>20240731-MISS-B12</t>
  </si>
  <si>
    <t>20240731-MISS-B13</t>
  </si>
  <si>
    <t>20240730-SHAF-B1</t>
  </si>
  <si>
    <t>20240730-SHAF-B2</t>
  </si>
  <si>
    <t>20240730-SHAF-B5</t>
  </si>
  <si>
    <t>20240730-SHAF-B6</t>
  </si>
  <si>
    <t>20240730-SHAF-B8</t>
  </si>
  <si>
    <t>20240730-SHAF-B9</t>
  </si>
  <si>
    <t>20240730-SHAF-B10</t>
  </si>
  <si>
    <t>20240730-SHAF-B11</t>
  </si>
  <si>
    <t>20240730-SHAF-B12</t>
  </si>
  <si>
    <t>20240730-SHAF-B14</t>
  </si>
  <si>
    <t>20240730-SHAF-B15</t>
  </si>
  <si>
    <t>20240805-SALA-B1</t>
  </si>
  <si>
    <t>20240805-SALA-B2</t>
  </si>
  <si>
    <t>20240805-SALA-B3</t>
  </si>
  <si>
    <t>20240805-SALA-B4</t>
  </si>
  <si>
    <t>20240805-SALA-B5</t>
  </si>
  <si>
    <t>20240805-SALA-B6</t>
  </si>
  <si>
    <t>20240805-SALA-B7</t>
  </si>
  <si>
    <t>20240805-SALA-B8</t>
  </si>
  <si>
    <t>20240805-SALA-B9</t>
  </si>
  <si>
    <t>20240805-SALA-B10</t>
  </si>
  <si>
    <t>20240805-SALA-B13</t>
  </si>
  <si>
    <t>20240805-SALA-B14</t>
  </si>
  <si>
    <t>Chla (Avg 24 and on)</t>
  </si>
  <si>
    <t>Pheo (Avg 24 and on)</t>
  </si>
  <si>
    <t>20240604-SHAF-B5</t>
  </si>
  <si>
    <t>20240814-SHAF-B1</t>
  </si>
  <si>
    <t>20240814-SHAF-B5</t>
  </si>
  <si>
    <t>20240814-SHAF-B6</t>
  </si>
  <si>
    <t>20240814-SHAF-B8</t>
  </si>
  <si>
    <t>20240814-SHAF-B9</t>
  </si>
  <si>
    <t>20240814-SHAF-B10</t>
  </si>
  <si>
    <t>20240814-SHAF-B11</t>
  </si>
  <si>
    <t>20240814-SHAF-B12</t>
  </si>
  <si>
    <t>20240814-SHAF-B14</t>
  </si>
  <si>
    <t>20240814-SHAF-B15</t>
  </si>
  <si>
    <t>OUT OF</t>
  </si>
  <si>
    <t>20240723-SALA-B4 (Special/Algae)</t>
  </si>
  <si>
    <t>No DATA</t>
  </si>
  <si>
    <t>DATA</t>
  </si>
  <si>
    <t>Null Count</t>
  </si>
  <si>
    <t>Null %</t>
  </si>
  <si>
    <t>% Progress</t>
  </si>
  <si>
    <t># Data Points</t>
  </si>
  <si>
    <t>2024 Only</t>
  </si>
  <si>
    <t>below detected limit</t>
  </si>
  <si>
    <t>20240912-MISS-B11</t>
  </si>
  <si>
    <t>20240912-MISS-B3</t>
  </si>
  <si>
    <t>20240912-MISS-B9</t>
  </si>
  <si>
    <t>20240912-MISS-B13</t>
  </si>
  <si>
    <t>20240912-MISS-B7</t>
  </si>
  <si>
    <t>20240912-MISS-B5</t>
  </si>
  <si>
    <t>20240912-MISS-B10</t>
  </si>
  <si>
    <t>20240912-MISS-B6</t>
  </si>
  <si>
    <t>20240912-MISS-B4</t>
  </si>
  <si>
    <t>20240912-MISS-B8</t>
  </si>
  <si>
    <t>20240912-MISS-B12</t>
  </si>
  <si>
    <t>20240912-MISS-B1</t>
  </si>
  <si>
    <t>20240912-MISS-B2</t>
  </si>
  <si>
    <t>Negative Values (b.d.l)</t>
  </si>
  <si>
    <t>NO DATA</t>
  </si>
  <si>
    <t>2023 Only</t>
  </si>
  <si>
    <t>TN (AVG) mg/L? [TOC]</t>
  </si>
  <si>
    <t>NPOC (AVG) mg/L? [TOC]</t>
  </si>
  <si>
    <t>TOTAL</t>
  </si>
  <si>
    <t>Band1</t>
  </si>
  <si>
    <t>Band2</t>
  </si>
  <si>
    <t>Band3</t>
  </si>
  <si>
    <t>Band4</t>
  </si>
  <si>
    <t>Band5</t>
  </si>
  <si>
    <t>Band6</t>
  </si>
  <si>
    <t>Band7</t>
  </si>
  <si>
    <t>Band8</t>
  </si>
  <si>
    <t>Distance From Dam</t>
  </si>
  <si>
    <t>Lake MISS</t>
  </si>
  <si>
    <t>Lake SALA</t>
  </si>
  <si>
    <t>Lake SHAF</t>
  </si>
  <si>
    <t>Station ID</t>
  </si>
  <si>
    <t>Distance From Dam (m)</t>
  </si>
  <si>
    <t>Nhu</t>
  </si>
  <si>
    <t>DEPTH M</t>
  </si>
  <si>
    <t>BAROMETER MMHG</t>
  </si>
  <si>
    <t>COND ÂµS/CM</t>
  </si>
  <si>
    <t>SPCOND ÂµS/CM</t>
  </si>
  <si>
    <t>TDS MG/L</t>
  </si>
  <si>
    <t>SAL PSU</t>
  </si>
  <si>
    <t>NLF COND ÂµS/CM</t>
  </si>
  <si>
    <t>VERTICAL POSITION M</t>
  </si>
  <si>
    <t>PRESSURE PSI A</t>
  </si>
  <si>
    <t>ODO % SAT</t>
  </si>
  <si>
    <t>ODO MG/L</t>
  </si>
  <si>
    <t>ODO % CB</t>
  </si>
  <si>
    <t>GPS LATITUDE Â°</t>
  </si>
  <si>
    <t>GPS LONGITUDE Â°</t>
  </si>
  <si>
    <t>ALTITUDE M</t>
  </si>
  <si>
    <t>ORP MV</t>
  </si>
  <si>
    <t>PH</t>
  </si>
  <si>
    <t>PH MV</t>
  </si>
  <si>
    <t>CABLE PWR V</t>
  </si>
  <si>
    <t>BATTERY V</t>
  </si>
  <si>
    <t>TEMP Â°C</t>
  </si>
  <si>
    <t>TURBIDITY FNU</t>
  </si>
  <si>
    <t>TSS MG/L</t>
  </si>
  <si>
    <t>Lat (SURVEY123)</t>
  </si>
  <si>
    <t>Long (SURVEY 123)</t>
  </si>
  <si>
    <t xml:space="preserve"> </t>
  </si>
  <si>
    <t>NaN</t>
  </si>
  <si>
    <t>SHAF-B11</t>
  </si>
  <si>
    <t>SHAF-B12</t>
  </si>
  <si>
    <t>SHAF-B10</t>
  </si>
  <si>
    <t>SHAF-B15</t>
  </si>
  <si>
    <t>SHAF-B9</t>
  </si>
  <si>
    <t>SHAF-B14</t>
  </si>
  <si>
    <t>SHAF-B8</t>
  </si>
  <si>
    <t>SHAF-B6</t>
  </si>
  <si>
    <t>SHAF-B5</t>
  </si>
  <si>
    <t>SHAF-B1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</si>
</sst>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9"/>
      <name val="Calibri"/>
      <family val="2"/>
      <scheme val="minor"/>
    </font>
    <font>
      <sz val="8"/>
      <name val="Calibri"/>
      <family val="2"/>
      <scheme val="minor"/>
    </font>
    <font>
      <sz val="11"/>
      <color rgb="FF00B050"/>
      <name val="Calibri"/>
      <family val="2"/>
    </font>
    <font>
      <sz val="11"/>
      <color rgb="FF00B05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2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/>
      <bottom style="thin">
        <color rgb="FFD0D7E5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D0D7E5"/>
      </right>
      <top style="medium">
        <color indexed="64"/>
      </top>
      <bottom style="thin">
        <color rgb="FFD0D7E5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medium">
        <color indexed="64"/>
      </left>
      <right style="thin">
        <color rgb="FFD0D7E5"/>
      </right>
      <top style="thin">
        <color rgb="FFD0D7E5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D0D7E5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D0D7E5"/>
      </right>
      <top/>
      <bottom style="thin">
        <color rgb="FFD0D7E5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31">
    <xf numFmtId="0" fontId="0" fillId="0" borderId="0" xfId="0"/>
    <xf numFmtId="0" fontId="0" fillId="0" borderId="3" xfId="0" applyBorder="1"/>
    <xf numFmtId="0" fontId="0" fillId="2" borderId="6" xfId="0" applyFill="1" applyBorder="1"/>
    <xf numFmtId="0" fontId="0" fillId="3" borderId="6" xfId="0" applyFill="1" applyBorder="1"/>
    <xf numFmtId="0" fontId="0" fillId="4" borderId="3" xfId="0" applyFill="1" applyBorder="1"/>
    <xf numFmtId="0" fontId="0" fillId="4" borderId="4" xfId="0" applyFill="1" applyBorder="1"/>
    <xf numFmtId="0" fontId="1" fillId="0" borderId="1" xfId="0" applyFont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3" borderId="5" xfId="0" applyFont="1" applyFill="1" applyBorder="1" applyAlignment="1">
      <alignment wrapText="1"/>
    </xf>
    <xf numFmtId="0" fontId="1" fillId="4" borderId="1" xfId="0" applyFont="1" applyFill="1" applyBorder="1" applyAlignment="1">
      <alignment wrapText="1"/>
    </xf>
    <xf numFmtId="0" fontId="1" fillId="4" borderId="2" xfId="0" applyFont="1" applyFill="1" applyBorder="1" applyAlignment="1">
      <alignment wrapText="1"/>
    </xf>
    <xf numFmtId="0" fontId="0" fillId="0" borderId="7" xfId="0" applyBorder="1"/>
    <xf numFmtId="0" fontId="0" fillId="0" borderId="8" xfId="0" applyFill="1" applyBorder="1"/>
    <xf numFmtId="0" fontId="0" fillId="0" borderId="7" xfId="0" applyFill="1" applyBorder="1"/>
    <xf numFmtId="0" fontId="0" fillId="0" borderId="9" xfId="0" applyFill="1" applyBorder="1"/>
    <xf numFmtId="0" fontId="2" fillId="0" borderId="8" xfId="0" applyFont="1" applyBorder="1"/>
    <xf numFmtId="0" fontId="2" fillId="0" borderId="8" xfId="0" applyFont="1" applyFill="1" applyBorder="1"/>
    <xf numFmtId="0" fontId="2" fillId="0" borderId="7" xfId="0" applyFont="1" applyFill="1" applyBorder="1"/>
    <xf numFmtId="0" fontId="1" fillId="0" borderId="9" xfId="0" applyFont="1" applyFill="1" applyBorder="1"/>
    <xf numFmtId="14" fontId="0" fillId="0" borderId="0" xfId="0" applyNumberFormat="1"/>
    <xf numFmtId="0" fontId="1" fillId="0" borderId="0" xfId="0" applyFont="1"/>
    <xf numFmtId="0" fontId="0" fillId="2" borderId="0" xfId="0" applyFill="1"/>
    <xf numFmtId="14" fontId="0" fillId="0" borderId="0" xfId="0" applyNumberFormat="1" applyFill="1"/>
    <xf numFmtId="0" fontId="0" fillId="0" borderId="0" xfId="0" applyFill="1"/>
    <xf numFmtId="0" fontId="4" fillId="0" borderId="11" xfId="0" applyFont="1" applyBorder="1" applyAlignment="1">
      <alignment vertical="center" wrapText="1"/>
    </xf>
    <xf numFmtId="0" fontId="0" fillId="0" borderId="0" xfId="0" applyAlignment="1">
      <alignment horizontal="left"/>
    </xf>
    <xf numFmtId="0" fontId="0" fillId="8" borderId="0" xfId="0" applyFill="1"/>
    <xf numFmtId="0" fontId="0" fillId="0" borderId="0" xfId="0" applyAlignment="1">
      <alignment horizontal="center"/>
    </xf>
    <xf numFmtId="0" fontId="0" fillId="9" borderId="0" xfId="0" applyFill="1"/>
    <xf numFmtId="0" fontId="0" fillId="8" borderId="0" xfId="0" applyFill="1" applyAlignment="1">
      <alignment horizontal="center"/>
    </xf>
    <xf numFmtId="0" fontId="4" fillId="0" borderId="12" xfId="0" applyFont="1" applyBorder="1" applyAlignment="1">
      <alignment vertical="center" wrapText="1"/>
    </xf>
    <xf numFmtId="0" fontId="1" fillId="7" borderId="10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4" fillId="0" borderId="0" xfId="0" applyFont="1" applyBorder="1" applyAlignment="1">
      <alignment vertical="center" wrapText="1"/>
    </xf>
    <xf numFmtId="0" fontId="1" fillId="7" borderId="10" xfId="0" applyFont="1" applyFill="1" applyBorder="1" applyAlignment="1">
      <alignment horizontal="center" wrapText="1"/>
    </xf>
    <xf numFmtId="0" fontId="5" fillId="0" borderId="0" xfId="0" applyFont="1" applyFill="1" applyAlignment="1">
      <alignment horizontal="left"/>
    </xf>
    <xf numFmtId="0" fontId="5" fillId="0" borderId="0" xfId="0" applyFont="1" applyFill="1"/>
    <xf numFmtId="0" fontId="5" fillId="0" borderId="0" xfId="0" applyFont="1" applyFill="1" applyAlignment="1">
      <alignment horizontal="center"/>
    </xf>
    <xf numFmtId="0" fontId="6" fillId="0" borderId="11" xfId="0" applyFont="1" applyFill="1" applyBorder="1" applyAlignment="1">
      <alignment vertical="center" wrapText="1"/>
    </xf>
    <xf numFmtId="14" fontId="5" fillId="0" borderId="0" xfId="0" applyNumberFormat="1" applyFont="1" applyFill="1"/>
    <xf numFmtId="0" fontId="0" fillId="11" borderId="0" xfId="0" applyFill="1" applyAlignment="1">
      <alignment horizontal="left"/>
    </xf>
    <xf numFmtId="0" fontId="0" fillId="11" borderId="0" xfId="0" applyFill="1"/>
    <xf numFmtId="0" fontId="0" fillId="11" borderId="0" xfId="0" applyFill="1" applyAlignment="1">
      <alignment horizontal="center"/>
    </xf>
    <xf numFmtId="0" fontId="4" fillId="11" borderId="11" xfId="0" applyFont="1" applyFill="1" applyBorder="1" applyAlignment="1">
      <alignment vertical="center" wrapText="1"/>
    </xf>
    <xf numFmtId="14" fontId="0" fillId="11" borderId="0" xfId="0" applyNumberFormat="1" applyFill="1"/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left"/>
    </xf>
    <xf numFmtId="0" fontId="0" fillId="7" borderId="14" xfId="0" applyFill="1" applyBorder="1"/>
    <xf numFmtId="0" fontId="0" fillId="7" borderId="14" xfId="0" applyFill="1" applyBorder="1" applyAlignment="1">
      <alignment horizontal="center"/>
    </xf>
    <xf numFmtId="0" fontId="4" fillId="7" borderId="14" xfId="0" applyFont="1" applyFill="1" applyBorder="1" applyAlignment="1">
      <alignment vertical="center" wrapText="1"/>
    </xf>
    <xf numFmtId="0" fontId="0" fillId="0" borderId="14" xfId="0" applyBorder="1"/>
    <xf numFmtId="14" fontId="0" fillId="0" borderId="14" xfId="0" applyNumberFormat="1" applyBorder="1"/>
    <xf numFmtId="0" fontId="0" fillId="0" borderId="0" xfId="0" applyBorder="1"/>
    <xf numFmtId="0" fontId="7" fillId="0" borderId="15" xfId="0" applyFont="1" applyBorder="1" applyAlignment="1">
      <alignment vertical="center" wrapText="1"/>
    </xf>
    <xf numFmtId="0" fontId="7" fillId="0" borderId="17" xfId="0" applyFont="1" applyBorder="1" applyAlignment="1">
      <alignment vertical="center" wrapText="1"/>
    </xf>
    <xf numFmtId="0" fontId="7" fillId="0" borderId="18" xfId="0" applyFont="1" applyBorder="1" applyAlignment="1">
      <alignment vertical="center" wrapText="1"/>
    </xf>
    <xf numFmtId="2" fontId="0" fillId="0" borderId="0" xfId="0" applyNumberFormat="1" applyFill="1" applyAlignment="1">
      <alignment horizontal="left"/>
    </xf>
    <xf numFmtId="2" fontId="0" fillId="0" borderId="14" xfId="0" applyNumberFormat="1" applyFill="1" applyBorder="1" applyAlignment="1">
      <alignment horizontal="left"/>
    </xf>
    <xf numFmtId="0" fontId="0" fillId="0" borderId="0" xfId="0" applyNumberFormat="1" applyFill="1" applyAlignment="1">
      <alignment horizontal="center"/>
    </xf>
    <xf numFmtId="0" fontId="0" fillId="0" borderId="0" xfId="0" applyNumberFormat="1" applyFill="1" applyAlignment="1">
      <alignment horizontal="left"/>
    </xf>
    <xf numFmtId="0" fontId="0" fillId="0" borderId="0" xfId="0" applyFill="1" applyAlignment="1">
      <alignment horizontal="center"/>
    </xf>
    <xf numFmtId="0" fontId="7" fillId="0" borderId="21" xfId="0" applyFont="1" applyFill="1" applyBorder="1" applyAlignment="1">
      <alignment vertical="center" wrapText="1"/>
    </xf>
    <xf numFmtId="0" fontId="0" fillId="0" borderId="19" xfId="0" applyBorder="1"/>
    <xf numFmtId="0" fontId="0" fillId="0" borderId="20" xfId="0" applyBorder="1"/>
    <xf numFmtId="0" fontId="7" fillId="0" borderId="3" xfId="0" applyFont="1" applyFill="1" applyBorder="1" applyAlignment="1">
      <alignment vertical="center" wrapText="1"/>
    </xf>
    <xf numFmtId="9" fontId="0" fillId="0" borderId="0" xfId="1" applyFont="1" applyBorder="1"/>
    <xf numFmtId="9" fontId="0" fillId="0" borderId="4" xfId="1" applyFont="1" applyBorder="1"/>
    <xf numFmtId="0" fontId="0" fillId="3" borderId="0" xfId="0" applyFill="1"/>
    <xf numFmtId="0" fontId="0" fillId="3" borderId="0" xfId="0" applyFill="1" applyAlignment="1">
      <alignment horizontal="center"/>
    </xf>
    <xf numFmtId="0" fontId="4" fillId="3" borderId="11" xfId="0" applyFont="1" applyFill="1" applyBorder="1" applyAlignment="1">
      <alignment vertical="center" wrapText="1"/>
    </xf>
    <xf numFmtId="0" fontId="4" fillId="8" borderId="11" xfId="0" applyFont="1" applyFill="1" applyBorder="1" applyAlignment="1">
      <alignment vertical="center" wrapText="1"/>
    </xf>
    <xf numFmtId="0" fontId="8" fillId="0" borderId="0" xfId="0" applyFont="1"/>
    <xf numFmtId="0" fontId="5" fillId="9" borderId="0" xfId="0" applyFont="1" applyFill="1"/>
    <xf numFmtId="0" fontId="0" fillId="0" borderId="0" xfId="0" applyFill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21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8" borderId="0" xfId="0" applyFill="1" applyBorder="1" applyAlignment="1">
      <alignment horizontal="right"/>
    </xf>
    <xf numFmtId="0" fontId="0" fillId="8" borderId="19" xfId="0" applyFill="1" applyBorder="1" applyAlignment="1">
      <alignment horizontal="right"/>
    </xf>
    <xf numFmtId="0" fontId="0" fillId="6" borderId="3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0" xfId="0" applyFill="1" applyBorder="1" applyAlignment="1">
      <alignment horizontal="right"/>
    </xf>
    <xf numFmtId="0" fontId="0" fillId="6" borderId="19" xfId="0" applyFill="1" applyBorder="1" applyAlignment="1">
      <alignment horizontal="right"/>
    </xf>
    <xf numFmtId="0" fontId="0" fillId="6" borderId="22" xfId="0" applyFill="1" applyBorder="1"/>
    <xf numFmtId="0" fontId="0" fillId="6" borderId="24" xfId="0" applyFill="1" applyBorder="1"/>
    <xf numFmtId="0" fontId="7" fillId="0" borderId="25" xfId="0" applyFont="1" applyBorder="1" applyAlignment="1">
      <alignment vertical="center" wrapText="1"/>
    </xf>
    <xf numFmtId="0" fontId="0" fillId="8" borderId="22" xfId="0" applyFill="1" applyBorder="1"/>
    <xf numFmtId="0" fontId="0" fillId="8" borderId="24" xfId="0" applyFill="1" applyBorder="1"/>
    <xf numFmtId="0" fontId="11" fillId="0" borderId="23" xfId="0" applyFont="1" applyBorder="1" applyAlignment="1">
      <alignment vertical="center" wrapText="1"/>
    </xf>
    <xf numFmtId="9" fontId="12" fillId="0" borderId="8" xfId="1" applyFont="1" applyBorder="1"/>
    <xf numFmtId="9" fontId="12" fillId="0" borderId="9" xfId="1" applyFont="1" applyBorder="1"/>
    <xf numFmtId="0" fontId="0" fillId="4" borderId="16" xfId="0" applyFont="1" applyFill="1" applyBorder="1"/>
    <xf numFmtId="0" fontId="0" fillId="4" borderId="2" xfId="0" applyFont="1" applyFill="1" applyBorder="1"/>
    <xf numFmtId="0" fontId="0" fillId="5" borderId="0" xfId="0" applyFont="1" applyFill="1" applyBorder="1"/>
    <xf numFmtId="0" fontId="0" fillId="5" borderId="4" xfId="0" applyFont="1" applyFill="1" applyBorder="1"/>
    <xf numFmtId="0" fontId="0" fillId="12" borderId="19" xfId="0" applyFont="1" applyFill="1" applyBorder="1"/>
    <xf numFmtId="0" fontId="0" fillId="12" borderId="20" xfId="0" applyFont="1" applyFill="1" applyBorder="1"/>
    <xf numFmtId="0" fontId="0" fillId="4" borderId="0" xfId="0" applyFont="1" applyFill="1" applyBorder="1"/>
    <xf numFmtId="0" fontId="0" fillId="4" borderId="4" xfId="0" applyFont="1" applyFill="1" applyBorder="1"/>
    <xf numFmtId="0" fontId="0" fillId="6" borderId="26" xfId="0" applyFill="1" applyBorder="1"/>
    <xf numFmtId="0" fontId="0" fillId="6" borderId="27" xfId="0" applyFill="1" applyBorder="1"/>
    <xf numFmtId="0" fontId="7" fillId="10" borderId="28" xfId="0" applyFont="1" applyFill="1" applyBorder="1" applyAlignment="1">
      <alignment vertical="center" wrapText="1"/>
    </xf>
    <xf numFmtId="0" fontId="1" fillId="10" borderId="29" xfId="0" applyFont="1" applyFill="1" applyBorder="1"/>
    <xf numFmtId="0" fontId="1" fillId="10" borderId="30" xfId="0" applyFont="1" applyFill="1" applyBorder="1"/>
    <xf numFmtId="0" fontId="0" fillId="8" borderId="26" xfId="0" applyFill="1" applyBorder="1"/>
    <xf numFmtId="0" fontId="0" fillId="8" borderId="27" xfId="0" applyFill="1" applyBorder="1"/>
    <xf numFmtId="0" fontId="0" fillId="0" borderId="31" xfId="0" applyBorder="1"/>
    <xf numFmtId="0" fontId="8" fillId="8" borderId="0" xfId="0" applyFont="1" applyFill="1"/>
    <xf numFmtId="9" fontId="12" fillId="0" borderId="0" xfId="1" applyFont="1" applyFill="1" applyBorder="1"/>
    <xf numFmtId="2" fontId="0" fillId="3" borderId="0" xfId="0" applyNumberFormat="1" applyFill="1" applyAlignment="1">
      <alignment horizontal="left"/>
    </xf>
    <xf numFmtId="0" fontId="9" fillId="3" borderId="0" xfId="0" applyFont="1" applyFill="1"/>
    <xf numFmtId="164" fontId="0" fillId="3" borderId="0" xfId="0" applyNumberFormat="1" applyFill="1"/>
    <xf numFmtId="0" fontId="5" fillId="3" borderId="0" xfId="0" applyFont="1" applyFill="1"/>
    <xf numFmtId="0" fontId="5" fillId="3" borderId="0" xfId="0" applyFont="1" applyFill="1" applyAlignment="1">
      <alignment horizontal="center"/>
    </xf>
    <xf numFmtId="0" fontId="0" fillId="12" borderId="0" xfId="0" applyFont="1" applyFill="1" applyBorder="1"/>
    <xf numFmtId="9" fontId="12" fillId="0" borderId="0" xfId="1" applyFont="1" applyBorder="1"/>
    <xf numFmtId="0" fontId="1" fillId="10" borderId="0" xfId="0" applyFont="1" applyFill="1" applyBorder="1"/>
    <xf numFmtId="0" fontId="0" fillId="8" borderId="0" xfId="0" applyFill="1" applyBorder="1"/>
    <xf numFmtId="0" fontId="0" fillId="6" borderId="0" xfId="0" applyFill="1" applyBorder="1"/>
    <xf numFmtId="0" fontId="0" fillId="2" borderId="0" xfId="0" applyNumberFormat="1" applyFill="1" applyAlignment="1">
      <alignment horizontal="left"/>
    </xf>
    <xf numFmtId="2" fontId="0" fillId="0" borderId="0" xfId="0" applyNumberFormat="1" applyFill="1" applyBorder="1" applyAlignment="1">
      <alignment horizontal="left"/>
    </xf>
    <xf numFmtId="16" fontId="0" fillId="0" borderId="0" xfId="0" applyNumberFormat="1"/>
    <xf numFmtId="22" fontId="0" fillId="0" borderId="0" xfId="0" applyNumberFormat="1"/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583294</xdr:colOff>
      <xdr:row>1</xdr:row>
      <xdr:rowOff>142874</xdr:rowOff>
    </xdr:from>
    <xdr:to>
      <xdr:col>25</xdr:col>
      <xdr:colOff>209550</xdr:colOff>
      <xdr:row>35</xdr:row>
      <xdr:rowOff>157534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7DE2F2-676F-4243-9E7C-F639BFC360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7819" y="466724"/>
          <a:ext cx="9379856" cy="67297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254760</xdr:colOff>
      <xdr:row>16</xdr:row>
      <xdr:rowOff>161925</xdr:rowOff>
    </xdr:from>
    <xdr:to>
      <xdr:col>6</xdr:col>
      <xdr:colOff>581450</xdr:colOff>
      <xdr:row>22</xdr:row>
      <xdr:rowOff>57622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F4FF4D-F202-4612-87EB-49E5C8370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760" y="3209925"/>
          <a:ext cx="936290" cy="10386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E0A95-57ED-46DC-8B48-B1ACEB80854D}">
  <dimension ref="A1:H19"/>
  <sheetViews>
    <sheetView zoomScale="85" zoomScaleNormal="85" workbookViewId="0">
      <selection activeCell="J8" sqref="J8"/>
    </sheetView>
  </sheetViews>
  <sheetFormatPr defaultRowHeight="15" x14ac:dyDescent="0.25"/>
  <cols>
    <col min="2" max="2" width="12.7109375" bestFit="1" customWidth="1"/>
  </cols>
  <sheetData>
    <row r="1" spans="2:8" ht="25.5" customHeight="1" thickBot="1" x14ac:dyDescent="0.3"/>
    <row r="2" spans="2:8" ht="31.5" customHeight="1" x14ac:dyDescent="0.25">
      <c r="B2" s="6" t="s">
        <v>14</v>
      </c>
      <c r="C2" s="7" t="s">
        <v>0</v>
      </c>
      <c r="D2" s="6" t="s">
        <v>13</v>
      </c>
      <c r="E2" s="8" t="s">
        <v>1</v>
      </c>
      <c r="F2" s="6" t="s">
        <v>12</v>
      </c>
      <c r="G2" s="9" t="s">
        <v>2</v>
      </c>
      <c r="H2" s="10" t="s">
        <v>3</v>
      </c>
    </row>
    <row r="3" spans="2:8" x14ac:dyDescent="0.25">
      <c r="B3" s="1" t="s">
        <v>4</v>
      </c>
      <c r="C3" s="2">
        <v>1</v>
      </c>
      <c r="D3" s="1" t="s">
        <v>8</v>
      </c>
      <c r="E3" s="3">
        <v>1</v>
      </c>
      <c r="F3" s="1">
        <v>1</v>
      </c>
      <c r="G3" s="4">
        <v>0</v>
      </c>
      <c r="H3" s="5">
        <v>1</v>
      </c>
    </row>
    <row r="4" spans="2:8" x14ac:dyDescent="0.25">
      <c r="B4" s="1" t="s">
        <v>5</v>
      </c>
      <c r="C4" s="2">
        <v>2</v>
      </c>
      <c r="D4" s="1" t="s">
        <v>9</v>
      </c>
      <c r="E4" s="3">
        <v>2</v>
      </c>
      <c r="F4" s="1">
        <v>2</v>
      </c>
      <c r="G4" s="4">
        <v>0</v>
      </c>
      <c r="H4" s="5">
        <v>2</v>
      </c>
    </row>
    <row r="5" spans="2:8" x14ac:dyDescent="0.25">
      <c r="B5" s="1" t="s">
        <v>6</v>
      </c>
      <c r="C5" s="2">
        <v>3</v>
      </c>
      <c r="D5" s="1"/>
      <c r="E5" s="3"/>
      <c r="F5" s="1">
        <v>3</v>
      </c>
      <c r="G5" s="4">
        <v>0</v>
      </c>
      <c r="H5" s="5">
        <v>3</v>
      </c>
    </row>
    <row r="6" spans="2:8" x14ac:dyDescent="0.25">
      <c r="B6" s="1" t="s">
        <v>7</v>
      </c>
      <c r="C6" s="2">
        <v>4</v>
      </c>
      <c r="D6" s="1"/>
      <c r="E6" s="3"/>
      <c r="F6" s="1">
        <v>4</v>
      </c>
      <c r="G6" s="4">
        <v>0</v>
      </c>
      <c r="H6" s="5">
        <v>4</v>
      </c>
    </row>
    <row r="7" spans="2:8" x14ac:dyDescent="0.25">
      <c r="B7" s="1"/>
      <c r="C7" s="2"/>
      <c r="D7" s="1"/>
      <c r="E7" s="3"/>
      <c r="F7" s="1">
        <v>5</v>
      </c>
      <c r="G7" s="4">
        <v>0</v>
      </c>
      <c r="H7" s="5">
        <v>5</v>
      </c>
    </row>
    <row r="8" spans="2:8" x14ac:dyDescent="0.25">
      <c r="B8" s="1"/>
      <c r="C8" s="2"/>
      <c r="D8" s="1"/>
      <c r="E8" s="3"/>
      <c r="F8" s="1">
        <v>6</v>
      </c>
      <c r="G8" s="4">
        <v>0</v>
      </c>
      <c r="H8" s="5">
        <v>6</v>
      </c>
    </row>
    <row r="9" spans="2:8" x14ac:dyDescent="0.25">
      <c r="B9" s="1"/>
      <c r="C9" s="2"/>
      <c r="D9" s="1"/>
      <c r="E9" s="3"/>
      <c r="F9" s="1">
        <v>7</v>
      </c>
      <c r="G9" s="4">
        <v>0</v>
      </c>
      <c r="H9" s="5">
        <v>7</v>
      </c>
    </row>
    <row r="10" spans="2:8" x14ac:dyDescent="0.25">
      <c r="B10" s="1"/>
      <c r="C10" s="2"/>
      <c r="D10" s="1"/>
      <c r="E10" s="3"/>
      <c r="F10" s="1">
        <v>8</v>
      </c>
      <c r="G10" s="4">
        <v>0</v>
      </c>
      <c r="H10" s="5">
        <v>8</v>
      </c>
    </row>
    <row r="11" spans="2:8" x14ac:dyDescent="0.25">
      <c r="B11" s="1"/>
      <c r="C11" s="2"/>
      <c r="D11" s="1"/>
      <c r="E11" s="3"/>
      <c r="F11" s="1">
        <v>9</v>
      </c>
      <c r="G11" s="4">
        <v>0</v>
      </c>
      <c r="H11" s="5">
        <v>9</v>
      </c>
    </row>
    <row r="12" spans="2:8" x14ac:dyDescent="0.25">
      <c r="B12" s="1"/>
      <c r="C12" s="2"/>
      <c r="D12" s="1"/>
      <c r="E12" s="3"/>
      <c r="F12" s="1">
        <v>10</v>
      </c>
      <c r="G12" s="4">
        <v>1</v>
      </c>
      <c r="H12" s="5">
        <v>0</v>
      </c>
    </row>
    <row r="13" spans="2:8" x14ac:dyDescent="0.25">
      <c r="B13" s="1"/>
      <c r="C13" s="2"/>
      <c r="D13" s="1"/>
      <c r="E13" s="3"/>
      <c r="F13" s="1">
        <v>11</v>
      </c>
      <c r="G13" s="4">
        <v>1</v>
      </c>
      <c r="H13" s="5">
        <v>1</v>
      </c>
    </row>
    <row r="14" spans="2:8" x14ac:dyDescent="0.25">
      <c r="B14" s="1"/>
      <c r="C14" s="2"/>
      <c r="D14" s="1"/>
      <c r="E14" s="3"/>
      <c r="F14" s="1">
        <v>12</v>
      </c>
      <c r="G14" s="4">
        <v>1</v>
      </c>
      <c r="H14" s="5">
        <v>2</v>
      </c>
    </row>
    <row r="15" spans="2:8" x14ac:dyDescent="0.25">
      <c r="B15" s="1"/>
      <c r="C15" s="2"/>
      <c r="D15" s="1"/>
      <c r="E15" s="3"/>
      <c r="F15" s="1">
        <v>13</v>
      </c>
      <c r="G15" s="4">
        <v>1</v>
      </c>
      <c r="H15" s="5">
        <v>3</v>
      </c>
    </row>
    <row r="16" spans="2:8" x14ac:dyDescent="0.25">
      <c r="B16" s="1"/>
      <c r="C16" s="2"/>
      <c r="D16" s="1"/>
      <c r="E16" s="3"/>
      <c r="F16" s="1">
        <v>14</v>
      </c>
      <c r="G16" s="4">
        <v>1</v>
      </c>
      <c r="H16" s="5">
        <v>4</v>
      </c>
    </row>
    <row r="17" spans="1:8" ht="15.75" thickBot="1" x14ac:dyDescent="0.3">
      <c r="B17" s="1"/>
      <c r="C17" s="2"/>
      <c r="D17" s="1"/>
      <c r="E17" s="3"/>
      <c r="F17" s="1">
        <v>15</v>
      </c>
      <c r="G17" s="4">
        <v>1</v>
      </c>
      <c r="H17" s="5">
        <v>5</v>
      </c>
    </row>
    <row r="18" spans="1:8" ht="15.75" thickBot="1" x14ac:dyDescent="0.3">
      <c r="A18" s="11" t="s">
        <v>10</v>
      </c>
      <c r="B18" s="15" t="s">
        <v>11</v>
      </c>
      <c r="C18" s="12">
        <v>2</v>
      </c>
      <c r="D18" s="16" t="s">
        <v>8</v>
      </c>
      <c r="E18" s="12">
        <v>1</v>
      </c>
      <c r="F18" s="17">
        <v>15</v>
      </c>
      <c r="G18" s="13">
        <v>1</v>
      </c>
      <c r="H18" s="14">
        <v>5</v>
      </c>
    </row>
    <row r="19" spans="1:8" ht="15.75" thickBot="1" x14ac:dyDescent="0.3">
      <c r="G19" s="11" t="s">
        <v>15</v>
      </c>
      <c r="H19" s="18">
        <v>2115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BDDF-7FFE-44BA-9213-AAF44420CB0D}">
  <dimension ref="A1:AG514"/>
  <sheetViews>
    <sheetView tabSelected="1" topLeftCell="L1" zoomScale="70" zoomScaleNormal="70" workbookViewId="0">
      <pane ySplit="1" topLeftCell="A458" activePane="bottomLeft" state="frozen"/>
      <selection pane="bottomLeft" activeCell="A268" sqref="A268:AG496"/>
    </sheetView>
  </sheetViews>
  <sheetFormatPr defaultRowHeight="15" x14ac:dyDescent="0.25"/>
  <cols>
    <col min="1" max="1" width="9.42578125" bestFit="1" customWidth="1"/>
    <col min="2" max="2" width="21.7109375" customWidth="1"/>
    <col min="3" max="3" width="18.28515625" customWidth="1"/>
    <col min="4" max="4" width="9.140625" style="27" customWidth="1"/>
    <col min="5" max="5" width="8.42578125" style="27" bestFit="1" customWidth="1"/>
    <col min="6" max="6" width="8.42578125" style="60" customWidth="1"/>
    <col min="7" max="7" width="14" style="60" customWidth="1"/>
    <col min="8" max="8" width="7.28515625" bestFit="1" customWidth="1"/>
    <col min="9" max="9" width="10.140625" bestFit="1" customWidth="1"/>
    <col min="10" max="11" width="12" bestFit="1" customWidth="1"/>
    <col min="12" max="12" width="12.7109375" bestFit="1" customWidth="1"/>
    <col min="13" max="13" width="12" bestFit="1" customWidth="1"/>
    <col min="14" max="14" width="13.42578125" customWidth="1"/>
    <col min="15" max="15" width="10" customWidth="1"/>
    <col min="16" max="16" width="12.42578125" bestFit="1" customWidth="1"/>
    <col min="17" max="26" width="12.42578125" customWidth="1"/>
    <col min="27" max="27" width="12" bestFit="1" customWidth="1"/>
    <col min="28" max="28" width="12.7109375" bestFit="1" customWidth="1"/>
    <col min="29" max="29" width="7" bestFit="1" customWidth="1"/>
    <col min="30" max="30" width="4.28515625" bestFit="1" customWidth="1"/>
    <col min="31" max="31" width="5" bestFit="1" customWidth="1"/>
    <col min="32" max="32" width="7.85546875" bestFit="1" customWidth="1"/>
    <col min="33" max="33" width="10.7109375" bestFit="1" customWidth="1"/>
  </cols>
  <sheetData>
    <row r="1" spans="1:33" ht="32.25" customHeight="1" x14ac:dyDescent="0.25">
      <c r="A1" s="31" t="s">
        <v>20</v>
      </c>
      <c r="B1" s="31" t="s">
        <v>21</v>
      </c>
      <c r="C1" s="31" t="s">
        <v>286</v>
      </c>
      <c r="D1" s="34" t="s">
        <v>285</v>
      </c>
      <c r="E1" s="34" t="s">
        <v>284</v>
      </c>
      <c r="F1" s="34"/>
      <c r="G1" s="34" t="s">
        <v>673</v>
      </c>
      <c r="H1" s="31" t="s">
        <v>505</v>
      </c>
      <c r="I1" s="31" t="s">
        <v>504</v>
      </c>
      <c r="J1" s="31" t="s">
        <v>576</v>
      </c>
      <c r="K1" s="31" t="s">
        <v>577</v>
      </c>
      <c r="L1" s="31" t="s">
        <v>578</v>
      </c>
      <c r="M1" s="31" t="s">
        <v>579</v>
      </c>
      <c r="N1" s="31" t="s">
        <v>586</v>
      </c>
      <c r="O1" s="31" t="s">
        <v>623</v>
      </c>
      <c r="P1" s="31" t="s">
        <v>624</v>
      </c>
      <c r="Q1" s="31" t="s">
        <v>663</v>
      </c>
      <c r="R1" s="31" t="s">
        <v>662</v>
      </c>
      <c r="S1" s="31" t="s">
        <v>665</v>
      </c>
      <c r="T1" s="31" t="s">
        <v>666</v>
      </c>
      <c r="U1" s="31" t="s">
        <v>667</v>
      </c>
      <c r="V1" s="31" t="s">
        <v>668</v>
      </c>
      <c r="W1" s="31" t="s">
        <v>669</v>
      </c>
      <c r="X1" s="31" t="s">
        <v>670</v>
      </c>
      <c r="Y1" s="31" t="s">
        <v>671</v>
      </c>
      <c r="Z1" s="31" t="s">
        <v>672</v>
      </c>
      <c r="AA1" s="31" t="s">
        <v>580</v>
      </c>
      <c r="AB1" s="31" t="s">
        <v>581</v>
      </c>
      <c r="AC1" s="31" t="s">
        <v>582</v>
      </c>
      <c r="AD1" s="31" t="s">
        <v>583</v>
      </c>
      <c r="AE1" s="31" t="s">
        <v>584</v>
      </c>
      <c r="AF1" s="31" t="s">
        <v>585</v>
      </c>
      <c r="AG1" s="32" t="s">
        <v>16</v>
      </c>
    </row>
    <row r="2" spans="1:33" x14ac:dyDescent="0.25">
      <c r="A2" s="25">
        <v>10001</v>
      </c>
      <c r="B2" t="s">
        <v>22</v>
      </c>
      <c r="C2" t="s">
        <v>511</v>
      </c>
      <c r="D2" s="27">
        <v>1101</v>
      </c>
      <c r="E2" s="27">
        <v>1</v>
      </c>
      <c r="F2" s="27"/>
      <c r="G2" s="27"/>
      <c r="H2" t="s">
        <v>508</v>
      </c>
      <c r="I2" s="30" t="s">
        <v>8</v>
      </c>
      <c r="N2" t="s">
        <v>660</v>
      </c>
      <c r="O2" t="s">
        <v>660</v>
      </c>
      <c r="P2" t="s">
        <v>660</v>
      </c>
      <c r="AA2">
        <v>40.731000000000002</v>
      </c>
      <c r="AB2">
        <v>-86.753</v>
      </c>
      <c r="AC2">
        <v>10</v>
      </c>
      <c r="AD2">
        <v>20</v>
      </c>
      <c r="AE2">
        <v>2022</v>
      </c>
      <c r="AF2" t="b">
        <v>0</v>
      </c>
      <c r="AG2" s="19">
        <v>44854</v>
      </c>
    </row>
    <row r="3" spans="1:33" x14ac:dyDescent="0.25">
      <c r="A3" s="25">
        <v>10002</v>
      </c>
      <c r="B3" t="s">
        <v>23</v>
      </c>
      <c r="C3" t="s">
        <v>512</v>
      </c>
      <c r="D3" s="27">
        <v>1102</v>
      </c>
      <c r="E3" s="27">
        <v>2</v>
      </c>
      <c r="F3" s="27"/>
      <c r="G3" s="27"/>
      <c r="H3" t="s">
        <v>508</v>
      </c>
      <c r="I3" s="24" t="s">
        <v>8</v>
      </c>
      <c r="N3" t="s">
        <v>660</v>
      </c>
      <c r="O3" t="s">
        <v>660</v>
      </c>
      <c r="P3" t="s">
        <v>660</v>
      </c>
      <c r="AA3">
        <v>40.74</v>
      </c>
      <c r="AB3">
        <v>-86.744</v>
      </c>
      <c r="AC3">
        <v>10</v>
      </c>
      <c r="AD3">
        <v>20</v>
      </c>
      <c r="AE3">
        <v>2022</v>
      </c>
      <c r="AF3" t="b">
        <v>0</v>
      </c>
      <c r="AG3" s="19">
        <v>44854</v>
      </c>
    </row>
    <row r="4" spans="1:33" x14ac:dyDescent="0.25">
      <c r="A4" s="25">
        <v>10003</v>
      </c>
      <c r="B4" t="s">
        <v>24</v>
      </c>
      <c r="C4" t="s">
        <v>512</v>
      </c>
      <c r="D4" s="27">
        <v>1102</v>
      </c>
      <c r="E4" s="27">
        <v>2</v>
      </c>
      <c r="F4" s="27"/>
      <c r="G4" s="27"/>
      <c r="H4" t="s">
        <v>508</v>
      </c>
      <c r="I4" s="24" t="s">
        <v>8</v>
      </c>
      <c r="N4" t="s">
        <v>660</v>
      </c>
      <c r="O4" t="s">
        <v>660</v>
      </c>
      <c r="P4" t="s">
        <v>660</v>
      </c>
      <c r="AA4">
        <v>40.744999999999997</v>
      </c>
      <c r="AB4">
        <v>-86.74</v>
      </c>
      <c r="AC4">
        <v>10</v>
      </c>
      <c r="AD4">
        <v>20</v>
      </c>
      <c r="AE4">
        <v>2022</v>
      </c>
      <c r="AF4" t="b">
        <v>0</v>
      </c>
      <c r="AG4" s="19">
        <v>44854</v>
      </c>
    </row>
    <row r="5" spans="1:33" x14ac:dyDescent="0.25">
      <c r="A5" s="25">
        <v>10004</v>
      </c>
      <c r="B5" t="s">
        <v>25</v>
      </c>
      <c r="C5" t="s">
        <v>511</v>
      </c>
      <c r="D5" s="27">
        <v>1101</v>
      </c>
      <c r="E5" s="27">
        <v>1</v>
      </c>
      <c r="F5" s="27"/>
      <c r="G5" s="27"/>
      <c r="H5" t="s">
        <v>508</v>
      </c>
      <c r="I5" s="24" t="s">
        <v>8</v>
      </c>
      <c r="N5" t="s">
        <v>660</v>
      </c>
      <c r="O5" t="s">
        <v>660</v>
      </c>
      <c r="P5" t="s">
        <v>660</v>
      </c>
      <c r="AA5">
        <v>40.728999999999999</v>
      </c>
      <c r="AB5">
        <v>-86.756</v>
      </c>
      <c r="AC5">
        <v>10</v>
      </c>
      <c r="AD5">
        <v>20</v>
      </c>
      <c r="AE5">
        <v>2022</v>
      </c>
      <c r="AF5" t="b">
        <v>0</v>
      </c>
      <c r="AG5" s="19">
        <v>44854</v>
      </c>
    </row>
    <row r="6" spans="1:33" x14ac:dyDescent="0.25">
      <c r="A6" s="25">
        <v>10005</v>
      </c>
      <c r="B6" t="s">
        <v>26</v>
      </c>
      <c r="C6" t="s">
        <v>513</v>
      </c>
      <c r="D6" s="27" t="s">
        <v>510</v>
      </c>
      <c r="E6" s="27" t="str">
        <f t="shared" ref="E6:E32" si="0">RIGHT(D6,2)</f>
        <v>?</v>
      </c>
      <c r="F6" s="27"/>
      <c r="G6" s="27"/>
      <c r="H6" t="s">
        <v>18</v>
      </c>
      <c r="I6" s="24" t="s">
        <v>506</v>
      </c>
      <c r="J6">
        <v>5.6099999999999997E-2</v>
      </c>
      <c r="K6">
        <v>6.4240000000000004</v>
      </c>
      <c r="L6">
        <v>-4.0000000000000001E-3</v>
      </c>
      <c r="M6">
        <v>-1E-3</v>
      </c>
      <c r="N6" t="s">
        <v>660</v>
      </c>
      <c r="O6">
        <v>3.8650000000000002</v>
      </c>
      <c r="P6" t="s">
        <v>660</v>
      </c>
      <c r="AA6">
        <v>40.731830000000002</v>
      </c>
      <c r="AB6">
        <v>-86.755009999999999</v>
      </c>
      <c r="AC6">
        <v>3</v>
      </c>
      <c r="AD6">
        <v>10</v>
      </c>
      <c r="AE6">
        <v>2023</v>
      </c>
      <c r="AF6" t="b">
        <v>0</v>
      </c>
      <c r="AG6" s="19">
        <v>44995</v>
      </c>
    </row>
    <row r="7" spans="1:33" x14ac:dyDescent="0.25">
      <c r="A7" s="25">
        <v>10006</v>
      </c>
      <c r="B7" t="s">
        <v>27</v>
      </c>
      <c r="C7" t="s">
        <v>513</v>
      </c>
      <c r="D7" s="27" t="s">
        <v>510</v>
      </c>
      <c r="E7" s="27" t="str">
        <f t="shared" si="0"/>
        <v>?</v>
      </c>
      <c r="F7" s="27"/>
      <c r="G7" s="27"/>
      <c r="H7" t="s">
        <v>18</v>
      </c>
      <c r="I7" s="24" t="s">
        <v>506</v>
      </c>
      <c r="M7">
        <v>8.5000000000000006E-3</v>
      </c>
      <c r="N7" t="s">
        <v>660</v>
      </c>
      <c r="O7" t="s">
        <v>660</v>
      </c>
      <c r="P7" t="s">
        <v>660</v>
      </c>
      <c r="AA7">
        <v>40.731830000000002</v>
      </c>
      <c r="AB7">
        <f>AA12</f>
        <v>40.731830000000002</v>
      </c>
      <c r="AC7">
        <v>3</v>
      </c>
      <c r="AD7">
        <v>10</v>
      </c>
      <c r="AE7">
        <v>2023</v>
      </c>
      <c r="AF7" t="b">
        <v>0</v>
      </c>
      <c r="AG7" s="19">
        <v>44995</v>
      </c>
    </row>
    <row r="8" spans="1:33" x14ac:dyDescent="0.25">
      <c r="A8" s="25">
        <v>10007</v>
      </c>
      <c r="B8" t="s">
        <v>28</v>
      </c>
      <c r="C8" t="s">
        <v>513</v>
      </c>
      <c r="D8" s="27" t="s">
        <v>510</v>
      </c>
      <c r="E8" s="27" t="str">
        <f t="shared" si="0"/>
        <v>?</v>
      </c>
      <c r="F8" s="27"/>
      <c r="G8" s="27"/>
      <c r="H8" t="s">
        <v>18</v>
      </c>
      <c r="I8" s="24" t="s">
        <v>506</v>
      </c>
      <c r="M8">
        <v>1.8499999999999999E-2</v>
      </c>
      <c r="N8" t="s">
        <v>660</v>
      </c>
      <c r="O8" t="s">
        <v>660</v>
      </c>
      <c r="P8" t="s">
        <v>660</v>
      </c>
      <c r="AA8">
        <v>40.731830000000002</v>
      </c>
      <c r="AB8">
        <v>-86.755009999999999</v>
      </c>
      <c r="AC8">
        <v>3</v>
      </c>
      <c r="AD8">
        <v>10</v>
      </c>
      <c r="AE8">
        <v>2023</v>
      </c>
      <c r="AF8" t="b">
        <v>0</v>
      </c>
      <c r="AG8" s="19">
        <v>44995</v>
      </c>
    </row>
    <row r="9" spans="1:33" x14ac:dyDescent="0.25">
      <c r="A9" s="25">
        <v>10008</v>
      </c>
      <c r="B9" t="s">
        <v>29</v>
      </c>
      <c r="C9" t="s">
        <v>513</v>
      </c>
      <c r="D9" s="27" t="s">
        <v>510</v>
      </c>
      <c r="E9" s="27" t="str">
        <f t="shared" si="0"/>
        <v>?</v>
      </c>
      <c r="F9" s="27"/>
      <c r="G9" s="27"/>
      <c r="H9" t="s">
        <v>18</v>
      </c>
      <c r="I9" s="24" t="s">
        <v>506</v>
      </c>
      <c r="M9">
        <v>8.8499999999999995E-2</v>
      </c>
      <c r="N9" t="s">
        <v>660</v>
      </c>
      <c r="O9" t="s">
        <v>660</v>
      </c>
      <c r="P9" t="s">
        <v>660</v>
      </c>
      <c r="AA9">
        <v>40.731830000000002</v>
      </c>
      <c r="AB9">
        <v>-86.755009999999999</v>
      </c>
      <c r="AC9">
        <v>3</v>
      </c>
      <c r="AD9">
        <v>10</v>
      </c>
      <c r="AE9">
        <v>2023</v>
      </c>
      <c r="AF9" t="b">
        <v>0</v>
      </c>
      <c r="AG9" s="19">
        <v>44995</v>
      </c>
    </row>
    <row r="10" spans="1:33" x14ac:dyDescent="0.25">
      <c r="A10" s="25">
        <v>10009</v>
      </c>
      <c r="B10" t="s">
        <v>30</v>
      </c>
      <c r="C10" t="s">
        <v>513</v>
      </c>
      <c r="D10" s="27" t="s">
        <v>510</v>
      </c>
      <c r="E10" s="27" t="str">
        <f t="shared" si="0"/>
        <v>?</v>
      </c>
      <c r="F10" s="27"/>
      <c r="G10" s="27"/>
      <c r="H10" t="s">
        <v>18</v>
      </c>
      <c r="I10" s="24" t="s">
        <v>506</v>
      </c>
      <c r="M10">
        <v>8.5999999999999993E-2</v>
      </c>
      <c r="N10" t="s">
        <v>660</v>
      </c>
      <c r="O10" t="s">
        <v>660</v>
      </c>
      <c r="P10" t="s">
        <v>660</v>
      </c>
      <c r="AA10">
        <v>40.731830000000002</v>
      </c>
      <c r="AB10">
        <v>-86.755009999999999</v>
      </c>
      <c r="AC10">
        <v>3</v>
      </c>
      <c r="AD10">
        <v>10</v>
      </c>
      <c r="AE10">
        <v>2023</v>
      </c>
      <c r="AF10" t="b">
        <v>0</v>
      </c>
      <c r="AG10" s="19">
        <v>44995</v>
      </c>
    </row>
    <row r="11" spans="1:33" x14ac:dyDescent="0.25">
      <c r="A11" s="25">
        <v>10010</v>
      </c>
      <c r="B11" t="s">
        <v>31</v>
      </c>
      <c r="C11" t="s">
        <v>513</v>
      </c>
      <c r="D11" s="27" t="s">
        <v>510</v>
      </c>
      <c r="E11" s="27" t="str">
        <f t="shared" si="0"/>
        <v>?</v>
      </c>
      <c r="F11" s="27"/>
      <c r="G11" s="27"/>
      <c r="H11" t="s">
        <v>18</v>
      </c>
      <c r="I11" s="24" t="s">
        <v>506</v>
      </c>
      <c r="J11">
        <v>1.9099999999999999E-2</v>
      </c>
      <c r="K11">
        <v>6.1929999999999996</v>
      </c>
      <c r="L11">
        <v>-2E-3</v>
      </c>
      <c r="M11">
        <v>9.0499999999999997E-2</v>
      </c>
      <c r="N11" t="s">
        <v>660</v>
      </c>
      <c r="O11">
        <v>1.355</v>
      </c>
      <c r="P11" t="s">
        <v>660</v>
      </c>
      <c r="AA11">
        <v>40.731830000000002</v>
      </c>
      <c r="AB11">
        <v>-86.755009999999999</v>
      </c>
      <c r="AC11">
        <v>3</v>
      </c>
      <c r="AD11">
        <v>10</v>
      </c>
      <c r="AE11">
        <v>2023</v>
      </c>
      <c r="AF11" t="b">
        <v>0</v>
      </c>
      <c r="AG11" s="19">
        <v>44995</v>
      </c>
    </row>
    <row r="12" spans="1:33" x14ac:dyDescent="0.25">
      <c r="A12" s="25">
        <v>10011</v>
      </c>
      <c r="B12" t="s">
        <v>32</v>
      </c>
      <c r="C12" t="s">
        <v>513</v>
      </c>
      <c r="D12" s="27" t="s">
        <v>510</v>
      </c>
      <c r="E12" s="27" t="str">
        <f t="shared" si="0"/>
        <v>?</v>
      </c>
      <c r="F12" s="27"/>
      <c r="G12" s="27"/>
      <c r="H12" t="s">
        <v>18</v>
      </c>
      <c r="I12" s="24" t="s">
        <v>506</v>
      </c>
      <c r="M12">
        <v>9.35E-2</v>
      </c>
      <c r="N12" t="s">
        <v>660</v>
      </c>
      <c r="O12" t="s">
        <v>660</v>
      </c>
      <c r="P12" t="s">
        <v>660</v>
      </c>
      <c r="AA12">
        <v>40.731830000000002</v>
      </c>
      <c r="AB12">
        <v>-86.755009999999999</v>
      </c>
      <c r="AC12">
        <v>3</v>
      </c>
      <c r="AD12">
        <v>10</v>
      </c>
      <c r="AE12">
        <v>2023</v>
      </c>
      <c r="AF12" t="b">
        <v>0</v>
      </c>
      <c r="AG12" s="19">
        <v>44995</v>
      </c>
    </row>
    <row r="13" spans="1:33" x14ac:dyDescent="0.25">
      <c r="A13" s="25">
        <v>10012</v>
      </c>
      <c r="B13" t="s">
        <v>33</v>
      </c>
      <c r="C13" t="s">
        <v>513</v>
      </c>
      <c r="D13" s="27" t="s">
        <v>510</v>
      </c>
      <c r="E13" s="27" t="str">
        <f t="shared" si="0"/>
        <v>?</v>
      </c>
      <c r="F13" s="27"/>
      <c r="G13" s="27"/>
      <c r="H13" t="s">
        <v>18</v>
      </c>
      <c r="I13" s="24" t="s">
        <v>506</v>
      </c>
      <c r="M13">
        <v>8.6499999999999994E-2</v>
      </c>
      <c r="N13" t="s">
        <v>660</v>
      </c>
      <c r="O13" t="s">
        <v>660</v>
      </c>
      <c r="P13" t="s">
        <v>660</v>
      </c>
      <c r="AA13">
        <v>40.731830000000002</v>
      </c>
      <c r="AB13">
        <v>-86.755009999999999</v>
      </c>
      <c r="AC13">
        <v>3</v>
      </c>
      <c r="AD13">
        <v>10</v>
      </c>
      <c r="AE13">
        <v>2023</v>
      </c>
      <c r="AF13" t="b">
        <v>0</v>
      </c>
      <c r="AG13" s="19">
        <v>44995</v>
      </c>
    </row>
    <row r="14" spans="1:33" x14ac:dyDescent="0.25">
      <c r="A14" s="25">
        <v>10013</v>
      </c>
      <c r="B14" t="s">
        <v>34</v>
      </c>
      <c r="C14" t="s">
        <v>513</v>
      </c>
      <c r="D14" s="27" t="s">
        <v>510</v>
      </c>
      <c r="E14" s="27" t="str">
        <f t="shared" si="0"/>
        <v>?</v>
      </c>
      <c r="F14" s="27"/>
      <c r="G14" s="27"/>
      <c r="H14" t="s">
        <v>18</v>
      </c>
      <c r="I14" s="24" t="s">
        <v>506</v>
      </c>
      <c r="M14">
        <v>4.2999999999999997E-2</v>
      </c>
      <c r="N14" t="s">
        <v>660</v>
      </c>
      <c r="O14" t="s">
        <v>660</v>
      </c>
      <c r="P14" t="s">
        <v>660</v>
      </c>
      <c r="AA14">
        <v>40.731830000000002</v>
      </c>
      <c r="AB14">
        <v>-86.755009999999999</v>
      </c>
      <c r="AC14">
        <v>3</v>
      </c>
      <c r="AD14">
        <v>10</v>
      </c>
      <c r="AE14">
        <v>2023</v>
      </c>
      <c r="AF14" t="b">
        <v>0</v>
      </c>
      <c r="AG14" s="19">
        <v>44995</v>
      </c>
    </row>
    <row r="15" spans="1:33" x14ac:dyDescent="0.25">
      <c r="A15" s="25">
        <v>10014</v>
      </c>
      <c r="B15" t="s">
        <v>35</v>
      </c>
      <c r="C15" t="s">
        <v>513</v>
      </c>
      <c r="D15" s="27" t="s">
        <v>510</v>
      </c>
      <c r="E15" s="27" t="str">
        <f t="shared" si="0"/>
        <v>?</v>
      </c>
      <c r="F15" s="27"/>
      <c r="G15" s="27"/>
      <c r="H15" t="s">
        <v>18</v>
      </c>
      <c r="I15" s="24" t="s">
        <v>506</v>
      </c>
      <c r="M15">
        <v>8.7499999999999994E-2</v>
      </c>
      <c r="N15" t="s">
        <v>660</v>
      </c>
      <c r="O15" t="s">
        <v>660</v>
      </c>
      <c r="P15" t="s">
        <v>660</v>
      </c>
      <c r="AA15">
        <v>40.731830000000002</v>
      </c>
      <c r="AB15">
        <v>-86.755009999999999</v>
      </c>
      <c r="AC15">
        <v>3</v>
      </c>
      <c r="AD15">
        <v>10</v>
      </c>
      <c r="AE15">
        <v>2023</v>
      </c>
      <c r="AF15" t="b">
        <v>0</v>
      </c>
      <c r="AG15" s="19">
        <v>44995</v>
      </c>
    </row>
    <row r="16" spans="1:33" x14ac:dyDescent="0.25">
      <c r="A16" s="25">
        <v>10015</v>
      </c>
      <c r="B16" t="s">
        <v>36</v>
      </c>
      <c r="C16" t="s">
        <v>513</v>
      </c>
      <c r="D16" s="27" t="s">
        <v>510</v>
      </c>
      <c r="E16" s="27" t="str">
        <f t="shared" si="0"/>
        <v>?</v>
      </c>
      <c r="F16" s="27"/>
      <c r="G16" s="27"/>
      <c r="H16" t="s">
        <v>18</v>
      </c>
      <c r="I16" s="24" t="s">
        <v>506</v>
      </c>
      <c r="J16">
        <v>1.29E-2</v>
      </c>
      <c r="K16">
        <v>5.8425000000000002</v>
      </c>
      <c r="L16">
        <v>-5.0000000000000001E-4</v>
      </c>
      <c r="M16">
        <v>9.4E-2</v>
      </c>
      <c r="N16" t="s">
        <v>660</v>
      </c>
      <c r="O16">
        <v>1.96</v>
      </c>
      <c r="P16" t="s">
        <v>660</v>
      </c>
      <c r="AA16">
        <v>40.746470000000002</v>
      </c>
      <c r="AB16">
        <v>-86.757469999999998</v>
      </c>
      <c r="AC16">
        <v>3</v>
      </c>
      <c r="AD16">
        <v>10</v>
      </c>
      <c r="AE16">
        <v>2023</v>
      </c>
      <c r="AF16" t="b">
        <v>0</v>
      </c>
      <c r="AG16" s="19">
        <v>44995</v>
      </c>
    </row>
    <row r="17" spans="1:33" x14ac:dyDescent="0.25">
      <c r="A17" s="25">
        <v>10016</v>
      </c>
      <c r="B17" t="s">
        <v>37</v>
      </c>
      <c r="C17" t="s">
        <v>513</v>
      </c>
      <c r="D17" s="27" t="s">
        <v>510</v>
      </c>
      <c r="E17" s="27" t="str">
        <f t="shared" si="0"/>
        <v>?</v>
      </c>
      <c r="F17" s="27"/>
      <c r="G17" s="27"/>
      <c r="H17" t="s">
        <v>18</v>
      </c>
      <c r="I17" s="24" t="s">
        <v>506</v>
      </c>
      <c r="J17">
        <v>1.6199999999999999E-2</v>
      </c>
      <c r="K17">
        <v>6.133</v>
      </c>
      <c r="L17">
        <v>-3.0000000000000001E-3</v>
      </c>
      <c r="M17">
        <v>7.1499999999999994E-2</v>
      </c>
      <c r="N17" t="s">
        <v>660</v>
      </c>
      <c r="O17">
        <v>1.9950000000000001</v>
      </c>
      <c r="P17" t="s">
        <v>660</v>
      </c>
      <c r="AA17">
        <v>40.746409999999997</v>
      </c>
      <c r="AB17">
        <v>-86.757890000000003</v>
      </c>
      <c r="AC17">
        <v>3</v>
      </c>
      <c r="AD17">
        <v>10</v>
      </c>
      <c r="AE17">
        <v>2023</v>
      </c>
      <c r="AF17" t="b">
        <v>0</v>
      </c>
      <c r="AG17" s="19">
        <v>44995</v>
      </c>
    </row>
    <row r="18" spans="1:33" x14ac:dyDescent="0.25">
      <c r="A18" s="25">
        <v>10017</v>
      </c>
      <c r="B18" t="s">
        <v>38</v>
      </c>
      <c r="C18" t="s">
        <v>513</v>
      </c>
      <c r="D18" s="27" t="s">
        <v>510</v>
      </c>
      <c r="E18" s="27" t="str">
        <f t="shared" si="0"/>
        <v>?</v>
      </c>
      <c r="F18" s="27"/>
      <c r="G18" s="27"/>
      <c r="H18" t="s">
        <v>18</v>
      </c>
      <c r="I18" s="24" t="s">
        <v>506</v>
      </c>
      <c r="J18">
        <v>8.9999999999999993E-3</v>
      </c>
      <c r="K18">
        <v>5.5359999999999996</v>
      </c>
      <c r="L18">
        <v>-8.0000000000000002E-3</v>
      </c>
      <c r="M18">
        <v>0.111</v>
      </c>
      <c r="N18" t="s">
        <v>660</v>
      </c>
      <c r="O18">
        <v>2.27</v>
      </c>
      <c r="P18" t="s">
        <v>660</v>
      </c>
      <c r="AA18">
        <v>40.778689999999997</v>
      </c>
      <c r="AB18">
        <v>-86.757919999999999</v>
      </c>
      <c r="AC18">
        <v>3</v>
      </c>
      <c r="AD18">
        <v>10</v>
      </c>
      <c r="AE18">
        <v>2023</v>
      </c>
      <c r="AF18" t="b">
        <v>0</v>
      </c>
      <c r="AG18" s="19">
        <v>44995</v>
      </c>
    </row>
    <row r="19" spans="1:33" x14ac:dyDescent="0.25">
      <c r="A19" s="25">
        <v>10018</v>
      </c>
      <c r="B19" t="s">
        <v>39</v>
      </c>
      <c r="C19" t="s">
        <v>513</v>
      </c>
      <c r="D19" s="27" t="s">
        <v>510</v>
      </c>
      <c r="E19" s="27" t="str">
        <f t="shared" si="0"/>
        <v>?</v>
      </c>
      <c r="F19" s="27"/>
      <c r="G19" s="27"/>
      <c r="H19" t="s">
        <v>18</v>
      </c>
      <c r="I19" s="24" t="s">
        <v>506</v>
      </c>
      <c r="J19">
        <v>1.2699999999999999E-2</v>
      </c>
      <c r="K19">
        <v>5.33</v>
      </c>
      <c r="L19">
        <v>-3.0000000000000001E-3</v>
      </c>
      <c r="M19">
        <v>9.2499999999999999E-2</v>
      </c>
      <c r="N19" t="s">
        <v>660</v>
      </c>
      <c r="O19">
        <v>2.6850000000000001</v>
      </c>
      <c r="P19" t="s">
        <v>660</v>
      </c>
      <c r="AA19">
        <v>40.778550000000003</v>
      </c>
      <c r="AB19">
        <v>-86.758399999999995</v>
      </c>
      <c r="AC19">
        <v>3</v>
      </c>
      <c r="AD19">
        <v>10</v>
      </c>
      <c r="AE19">
        <v>2023</v>
      </c>
      <c r="AF19" t="b">
        <v>0</v>
      </c>
      <c r="AG19" s="19">
        <v>44995</v>
      </c>
    </row>
    <row r="20" spans="1:33" x14ac:dyDescent="0.25">
      <c r="A20" s="25">
        <v>10019</v>
      </c>
      <c r="B20" t="s">
        <v>40</v>
      </c>
      <c r="C20" t="s">
        <v>513</v>
      </c>
      <c r="D20" s="27" t="s">
        <v>510</v>
      </c>
      <c r="E20" s="27" t="str">
        <f t="shared" si="0"/>
        <v>?</v>
      </c>
      <c r="F20" s="27"/>
      <c r="G20" s="27"/>
      <c r="H20" t="s">
        <v>18</v>
      </c>
      <c r="I20" s="24" t="s">
        <v>506</v>
      </c>
      <c r="J20">
        <v>1.84E-2</v>
      </c>
      <c r="K20">
        <v>5.2679999999999998</v>
      </c>
      <c r="L20">
        <v>-6.0000000000000001E-3</v>
      </c>
      <c r="M20">
        <v>6.3500000000000001E-2</v>
      </c>
      <c r="N20" t="s">
        <v>660</v>
      </c>
      <c r="O20">
        <v>1.95</v>
      </c>
      <c r="P20" t="s">
        <v>660</v>
      </c>
      <c r="AA20">
        <v>40.832900000000002</v>
      </c>
      <c r="AB20">
        <v>-86.783709999999999</v>
      </c>
      <c r="AC20">
        <v>3</v>
      </c>
      <c r="AD20">
        <v>10</v>
      </c>
      <c r="AE20">
        <v>2023</v>
      </c>
      <c r="AF20" t="b">
        <v>0</v>
      </c>
      <c r="AG20" s="19">
        <v>44995</v>
      </c>
    </row>
    <row r="21" spans="1:33" x14ac:dyDescent="0.25">
      <c r="A21" s="25">
        <v>10020</v>
      </c>
      <c r="B21" t="s">
        <v>41</v>
      </c>
      <c r="C21" t="s">
        <v>513</v>
      </c>
      <c r="D21" s="27" t="s">
        <v>510</v>
      </c>
      <c r="E21" s="27" t="str">
        <f t="shared" si="0"/>
        <v>?</v>
      </c>
      <c r="F21" s="27"/>
      <c r="G21" s="27"/>
      <c r="H21" t="s">
        <v>18</v>
      </c>
      <c r="I21" s="24" t="s">
        <v>506</v>
      </c>
      <c r="M21">
        <v>7.6999999999999999E-2</v>
      </c>
      <c r="N21" t="s">
        <v>660</v>
      </c>
      <c r="O21" t="s">
        <v>660</v>
      </c>
      <c r="P21" t="s">
        <v>660</v>
      </c>
      <c r="AA21">
        <v>40.832900000000002</v>
      </c>
      <c r="AB21">
        <v>-86.783709999999999</v>
      </c>
      <c r="AC21">
        <v>3</v>
      </c>
      <c r="AD21">
        <v>10</v>
      </c>
      <c r="AE21">
        <v>2023</v>
      </c>
      <c r="AF21" t="b">
        <v>0</v>
      </c>
      <c r="AG21" s="19">
        <v>44995</v>
      </c>
    </row>
    <row r="22" spans="1:33" x14ac:dyDescent="0.25">
      <c r="A22" s="25">
        <v>10021</v>
      </c>
      <c r="B22" t="s">
        <v>42</v>
      </c>
      <c r="C22" t="s">
        <v>513</v>
      </c>
      <c r="D22" s="27" t="s">
        <v>510</v>
      </c>
      <c r="E22" s="27" t="str">
        <f t="shared" si="0"/>
        <v>?</v>
      </c>
      <c r="F22" s="27"/>
      <c r="G22" s="27"/>
      <c r="H22" t="s">
        <v>18</v>
      </c>
      <c r="I22" s="24" t="s">
        <v>506</v>
      </c>
      <c r="M22">
        <v>0.1925</v>
      </c>
      <c r="N22" t="s">
        <v>660</v>
      </c>
      <c r="O22" t="s">
        <v>660</v>
      </c>
      <c r="P22" t="s">
        <v>660</v>
      </c>
      <c r="AA22">
        <v>40.832900000000002</v>
      </c>
      <c r="AB22">
        <v>-86.783709999999999</v>
      </c>
      <c r="AC22">
        <v>3</v>
      </c>
      <c r="AD22">
        <v>10</v>
      </c>
      <c r="AE22">
        <v>2023</v>
      </c>
      <c r="AF22" t="b">
        <v>0</v>
      </c>
      <c r="AG22" s="19">
        <v>44995</v>
      </c>
    </row>
    <row r="23" spans="1:33" x14ac:dyDescent="0.25">
      <c r="A23" s="25">
        <v>10022</v>
      </c>
      <c r="B23" t="s">
        <v>43</v>
      </c>
      <c r="C23" t="s">
        <v>513</v>
      </c>
      <c r="D23" s="27" t="s">
        <v>510</v>
      </c>
      <c r="E23" s="27" t="str">
        <f t="shared" si="0"/>
        <v>?</v>
      </c>
      <c r="F23" s="27"/>
      <c r="G23" s="27"/>
      <c r="H23" t="s">
        <v>18</v>
      </c>
      <c r="I23" s="24" t="s">
        <v>506</v>
      </c>
      <c r="M23">
        <v>7.3999999999999996E-2</v>
      </c>
      <c r="N23" t="s">
        <v>660</v>
      </c>
      <c r="O23" t="s">
        <v>660</v>
      </c>
      <c r="P23" t="s">
        <v>660</v>
      </c>
      <c r="AA23">
        <v>40.832900000000002</v>
      </c>
      <c r="AB23">
        <v>-86.783709999999999</v>
      </c>
      <c r="AC23">
        <v>3</v>
      </c>
      <c r="AD23">
        <v>10</v>
      </c>
      <c r="AE23">
        <v>2023</v>
      </c>
      <c r="AF23" t="b">
        <v>0</v>
      </c>
      <c r="AG23" s="19">
        <v>44995</v>
      </c>
    </row>
    <row r="24" spans="1:33" x14ac:dyDescent="0.25">
      <c r="A24" s="25">
        <v>10023</v>
      </c>
      <c r="B24" t="s">
        <v>44</v>
      </c>
      <c r="C24" t="s">
        <v>513</v>
      </c>
      <c r="D24" s="27" t="s">
        <v>510</v>
      </c>
      <c r="E24" s="27" t="str">
        <f t="shared" si="0"/>
        <v>?</v>
      </c>
      <c r="F24" s="27"/>
      <c r="G24" s="27"/>
      <c r="H24" t="s">
        <v>18</v>
      </c>
      <c r="I24" s="24" t="s">
        <v>506</v>
      </c>
      <c r="N24" t="s">
        <v>660</v>
      </c>
      <c r="O24" t="s">
        <v>660</v>
      </c>
      <c r="P24" t="s">
        <v>660</v>
      </c>
      <c r="AA24">
        <v>40.832900000000002</v>
      </c>
      <c r="AB24">
        <v>-86.783709999999999</v>
      </c>
      <c r="AC24">
        <v>3</v>
      </c>
      <c r="AD24">
        <v>10</v>
      </c>
      <c r="AE24">
        <v>2023</v>
      </c>
      <c r="AF24" t="b">
        <v>0</v>
      </c>
      <c r="AG24" s="19">
        <v>44995</v>
      </c>
    </row>
    <row r="25" spans="1:33" x14ac:dyDescent="0.25">
      <c r="A25" s="25">
        <v>10024</v>
      </c>
      <c r="B25" t="s">
        <v>45</v>
      </c>
      <c r="C25" t="s">
        <v>514</v>
      </c>
      <c r="D25" s="27" t="s">
        <v>510</v>
      </c>
      <c r="E25" s="27" t="str">
        <f t="shared" si="0"/>
        <v>?</v>
      </c>
      <c r="F25" s="27"/>
      <c r="G25" s="27"/>
      <c r="H25" t="s">
        <v>17</v>
      </c>
      <c r="I25" s="24" t="s">
        <v>9</v>
      </c>
      <c r="J25">
        <v>2.98E-2</v>
      </c>
      <c r="K25">
        <v>3.6259999999999999</v>
      </c>
      <c r="L25">
        <v>-3.0000000000000001E-3</v>
      </c>
      <c r="M25">
        <v>0.3765</v>
      </c>
      <c r="N25" t="s">
        <v>660</v>
      </c>
      <c r="O25">
        <v>1.585</v>
      </c>
      <c r="P25" t="s">
        <v>660</v>
      </c>
      <c r="AA25">
        <v>40.680591</v>
      </c>
      <c r="AB25">
        <v>-85.895760999999993</v>
      </c>
      <c r="AC25">
        <v>4</v>
      </c>
      <c r="AD25">
        <v>7</v>
      </c>
      <c r="AE25">
        <v>2023</v>
      </c>
      <c r="AF25" t="b">
        <v>0</v>
      </c>
      <c r="AG25" s="19">
        <v>45023</v>
      </c>
    </row>
    <row r="26" spans="1:33" x14ac:dyDescent="0.25">
      <c r="A26" s="25">
        <v>10025</v>
      </c>
      <c r="B26" t="s">
        <v>46</v>
      </c>
      <c r="C26" t="s">
        <v>514</v>
      </c>
      <c r="D26" s="27" t="s">
        <v>510</v>
      </c>
      <c r="E26" s="27" t="str">
        <f t="shared" si="0"/>
        <v>?</v>
      </c>
      <c r="F26" s="27"/>
      <c r="G26" s="27"/>
      <c r="H26" t="s">
        <v>17</v>
      </c>
      <c r="I26" s="24" t="s">
        <v>9</v>
      </c>
      <c r="J26">
        <v>9.9000000000000008E-3</v>
      </c>
      <c r="K26">
        <v>4.1769999999999996</v>
      </c>
      <c r="L26">
        <v>0.03</v>
      </c>
      <c r="M26">
        <v>0.23899999999999999</v>
      </c>
      <c r="N26" t="s">
        <v>660</v>
      </c>
      <c r="O26">
        <v>3.8</v>
      </c>
      <c r="P26" t="s">
        <v>660</v>
      </c>
      <c r="AA26">
        <v>40.668590999999999</v>
      </c>
      <c r="AB26">
        <v>-85.848778999999993</v>
      </c>
      <c r="AC26">
        <v>4</v>
      </c>
      <c r="AD26">
        <v>7</v>
      </c>
      <c r="AE26">
        <v>2023</v>
      </c>
      <c r="AF26" t="b">
        <v>0</v>
      </c>
      <c r="AG26" s="19">
        <v>45023</v>
      </c>
    </row>
    <row r="27" spans="1:33" x14ac:dyDescent="0.25">
      <c r="A27" s="25">
        <v>10026</v>
      </c>
      <c r="B27" t="s">
        <v>47</v>
      </c>
      <c r="C27" t="s">
        <v>514</v>
      </c>
      <c r="D27" s="27" t="s">
        <v>510</v>
      </c>
      <c r="E27" s="27" t="str">
        <f t="shared" si="0"/>
        <v>?</v>
      </c>
      <c r="F27" s="27"/>
      <c r="G27" s="27"/>
      <c r="H27" t="s">
        <v>17</v>
      </c>
      <c r="I27" s="24" t="s">
        <v>9</v>
      </c>
      <c r="J27">
        <v>8.6300000000000002E-2</v>
      </c>
      <c r="K27">
        <v>4.5999999999999996</v>
      </c>
      <c r="L27">
        <v>8.5999999999999993E-2</v>
      </c>
      <c r="M27">
        <v>0.55674999999999997</v>
      </c>
      <c r="N27" t="s">
        <v>660</v>
      </c>
      <c r="O27">
        <v>2.7749999999999999</v>
      </c>
      <c r="P27" t="s">
        <v>660</v>
      </c>
      <c r="AA27">
        <v>40.703468999999998</v>
      </c>
      <c r="AB27">
        <v>-85.936367000000004</v>
      </c>
      <c r="AC27">
        <v>4</v>
      </c>
      <c r="AD27">
        <v>7</v>
      </c>
      <c r="AE27">
        <v>2023</v>
      </c>
      <c r="AF27" t="b">
        <v>0</v>
      </c>
      <c r="AG27" s="19">
        <v>45023</v>
      </c>
    </row>
    <row r="28" spans="1:33" x14ac:dyDescent="0.25">
      <c r="A28" s="25">
        <v>10027</v>
      </c>
      <c r="B28" t="s">
        <v>48</v>
      </c>
      <c r="C28" t="s">
        <v>515</v>
      </c>
      <c r="D28" s="27" t="s">
        <v>510</v>
      </c>
      <c r="E28" s="27" t="str">
        <f t="shared" si="0"/>
        <v>?</v>
      </c>
      <c r="F28" s="27"/>
      <c r="G28" s="27"/>
      <c r="H28" t="s">
        <v>19</v>
      </c>
      <c r="I28" s="24" t="s">
        <v>9</v>
      </c>
      <c r="J28">
        <v>0.1072</v>
      </c>
      <c r="K28">
        <v>3.9729999999999999</v>
      </c>
      <c r="L28">
        <v>0.155</v>
      </c>
      <c r="M28">
        <v>0.29149999999999998</v>
      </c>
      <c r="N28" t="s">
        <v>660</v>
      </c>
      <c r="O28">
        <v>4.835</v>
      </c>
      <c r="P28" t="s">
        <v>660</v>
      </c>
      <c r="AA28">
        <v>40.780611</v>
      </c>
      <c r="AB28">
        <v>-85.636381999999998</v>
      </c>
      <c r="AC28">
        <v>4</v>
      </c>
      <c r="AD28">
        <v>7</v>
      </c>
      <c r="AE28">
        <v>2023</v>
      </c>
      <c r="AF28" t="b">
        <v>0</v>
      </c>
      <c r="AG28" s="19">
        <v>45023</v>
      </c>
    </row>
    <row r="29" spans="1:33" x14ac:dyDescent="0.25">
      <c r="A29" s="25">
        <v>10028</v>
      </c>
      <c r="B29" t="s">
        <v>49</v>
      </c>
      <c r="C29" t="s">
        <v>515</v>
      </c>
      <c r="D29" s="27" t="s">
        <v>510</v>
      </c>
      <c r="E29" s="27" t="str">
        <f t="shared" si="0"/>
        <v>?</v>
      </c>
      <c r="F29" s="27"/>
      <c r="G29" s="27"/>
      <c r="H29" t="s">
        <v>19</v>
      </c>
      <c r="I29" s="24" t="s">
        <v>9</v>
      </c>
      <c r="J29">
        <v>0.1047</v>
      </c>
      <c r="K29">
        <v>3.702</v>
      </c>
      <c r="L29">
        <v>6.5000000000000002E-2</v>
      </c>
      <c r="M29">
        <v>0.40799999999999997</v>
      </c>
      <c r="N29" t="s">
        <v>660</v>
      </c>
      <c r="O29">
        <v>1.24</v>
      </c>
      <c r="P29" t="s">
        <v>660</v>
      </c>
      <c r="AA29">
        <v>40.772694999999999</v>
      </c>
      <c r="AB29">
        <v>-85.640409000000005</v>
      </c>
      <c r="AC29">
        <v>4</v>
      </c>
      <c r="AD29">
        <v>7</v>
      </c>
      <c r="AE29">
        <v>2023</v>
      </c>
      <c r="AF29" t="b">
        <v>0</v>
      </c>
      <c r="AG29" s="19">
        <v>45023</v>
      </c>
    </row>
    <row r="30" spans="1:33" x14ac:dyDescent="0.25">
      <c r="A30" s="25">
        <v>10029</v>
      </c>
      <c r="B30" t="s">
        <v>50</v>
      </c>
      <c r="C30" t="s">
        <v>515</v>
      </c>
      <c r="D30" s="27" t="s">
        <v>510</v>
      </c>
      <c r="E30" s="27" t="str">
        <f t="shared" si="0"/>
        <v>?</v>
      </c>
      <c r="F30" s="27"/>
      <c r="G30" s="27"/>
      <c r="H30" t="s">
        <v>19</v>
      </c>
      <c r="I30" s="24" t="s">
        <v>9</v>
      </c>
      <c r="M30">
        <v>0.108</v>
      </c>
      <c r="N30" t="s">
        <v>660</v>
      </c>
      <c r="O30" t="s">
        <v>660</v>
      </c>
      <c r="P30" t="s">
        <v>660</v>
      </c>
      <c r="AA30">
        <v>40.751393</v>
      </c>
      <c r="AB30">
        <v>-85.581419999999994</v>
      </c>
      <c r="AC30">
        <v>4</v>
      </c>
      <c r="AD30">
        <v>7</v>
      </c>
      <c r="AE30">
        <v>2023</v>
      </c>
      <c r="AF30" t="b">
        <v>0</v>
      </c>
      <c r="AG30" s="19">
        <v>45023</v>
      </c>
    </row>
    <row r="31" spans="1:33" x14ac:dyDescent="0.25">
      <c r="A31" s="25">
        <v>10030</v>
      </c>
      <c r="B31" t="s">
        <v>51</v>
      </c>
      <c r="C31" t="s">
        <v>515</v>
      </c>
      <c r="D31" s="27" t="s">
        <v>510</v>
      </c>
      <c r="E31" s="27" t="str">
        <f t="shared" si="0"/>
        <v>?</v>
      </c>
      <c r="F31" s="27"/>
      <c r="G31" s="27"/>
      <c r="H31" t="s">
        <v>19</v>
      </c>
      <c r="I31" s="24" t="s">
        <v>9</v>
      </c>
      <c r="J31">
        <v>4.9750000000000003E-2</v>
      </c>
      <c r="K31">
        <v>4.4379999999999997</v>
      </c>
      <c r="L31">
        <v>0.2475</v>
      </c>
      <c r="M31">
        <v>0.351333333333333</v>
      </c>
      <c r="N31" t="s">
        <v>660</v>
      </c>
      <c r="O31">
        <v>2.6850000000000001</v>
      </c>
      <c r="P31" t="s">
        <v>660</v>
      </c>
      <c r="AA31">
        <v>40.772737999999997</v>
      </c>
      <c r="AB31">
        <v>-85.604952999999995</v>
      </c>
      <c r="AC31">
        <v>4</v>
      </c>
      <c r="AD31">
        <v>7</v>
      </c>
      <c r="AE31">
        <v>2023</v>
      </c>
      <c r="AF31" t="b">
        <v>0</v>
      </c>
      <c r="AG31" s="19">
        <v>45023</v>
      </c>
    </row>
    <row r="32" spans="1:33" x14ac:dyDescent="0.25">
      <c r="A32" s="25">
        <v>10031</v>
      </c>
      <c r="B32" t="s">
        <v>52</v>
      </c>
      <c r="C32" t="s">
        <v>515</v>
      </c>
      <c r="D32" s="27" t="s">
        <v>510</v>
      </c>
      <c r="E32" s="27" t="str">
        <f t="shared" si="0"/>
        <v>?</v>
      </c>
      <c r="F32" s="27"/>
      <c r="G32" s="27"/>
      <c r="H32" t="s">
        <v>19</v>
      </c>
      <c r="I32" s="24" t="s">
        <v>9</v>
      </c>
      <c r="J32">
        <v>0.1137</v>
      </c>
      <c r="K32">
        <v>4.5330000000000004</v>
      </c>
      <c r="L32">
        <v>0.111</v>
      </c>
      <c r="M32">
        <v>0.57950000000000002</v>
      </c>
      <c r="N32" t="s">
        <v>660</v>
      </c>
      <c r="O32">
        <v>3.335</v>
      </c>
      <c r="P32" t="s">
        <v>660</v>
      </c>
      <c r="AA32">
        <v>40.792323000000003</v>
      </c>
      <c r="AB32">
        <v>-85.666663</v>
      </c>
      <c r="AC32">
        <v>4</v>
      </c>
      <c r="AD32">
        <v>7</v>
      </c>
      <c r="AE32">
        <v>2023</v>
      </c>
      <c r="AF32" t="b">
        <v>0</v>
      </c>
      <c r="AG32" s="19">
        <v>45023</v>
      </c>
    </row>
    <row r="33" spans="1:33" x14ac:dyDescent="0.25">
      <c r="A33" s="25">
        <v>10032</v>
      </c>
      <c r="B33" t="s">
        <v>53</v>
      </c>
      <c r="C33" t="s">
        <v>516</v>
      </c>
      <c r="D33" s="27">
        <v>4101</v>
      </c>
      <c r="E33" s="27">
        <v>1</v>
      </c>
      <c r="F33" s="27"/>
      <c r="G33" s="27"/>
      <c r="H33" t="s">
        <v>18</v>
      </c>
      <c r="I33" s="24" t="s">
        <v>8</v>
      </c>
      <c r="J33">
        <v>0.50075000000000003</v>
      </c>
      <c r="K33">
        <v>5.0519999999999898</v>
      </c>
      <c r="L33">
        <v>0.25600000000000001</v>
      </c>
      <c r="M33">
        <v>7.9500000000000001E-2</v>
      </c>
      <c r="N33" t="s">
        <v>660</v>
      </c>
      <c r="O33">
        <v>2.2999999999999998</v>
      </c>
      <c r="P33" t="s">
        <v>660</v>
      </c>
      <c r="AA33">
        <v>40.834879999999998</v>
      </c>
      <c r="AB33">
        <v>-86.807770000000005</v>
      </c>
      <c r="AC33">
        <v>4</v>
      </c>
      <c r="AD33">
        <v>24</v>
      </c>
      <c r="AE33">
        <v>2023</v>
      </c>
      <c r="AF33" t="b">
        <v>0</v>
      </c>
      <c r="AG33" s="19">
        <v>45040</v>
      </c>
    </row>
    <row r="34" spans="1:33" x14ac:dyDescent="0.25">
      <c r="A34" s="25">
        <v>10033</v>
      </c>
      <c r="B34" t="s">
        <v>54</v>
      </c>
      <c r="C34" t="s">
        <v>517</v>
      </c>
      <c r="D34" s="27">
        <v>4102</v>
      </c>
      <c r="E34" s="27">
        <v>2</v>
      </c>
      <c r="F34" s="27"/>
      <c r="G34" s="27"/>
      <c r="H34" t="s">
        <v>18</v>
      </c>
      <c r="I34" s="24" t="s">
        <v>8</v>
      </c>
      <c r="J34">
        <v>1.2999999999999999E-2</v>
      </c>
      <c r="K34">
        <v>5.4109999999999996</v>
      </c>
      <c r="L34">
        <v>-3.0000000000000001E-3</v>
      </c>
      <c r="M34">
        <v>3.2000000000000001E-2</v>
      </c>
      <c r="N34" t="s">
        <v>660</v>
      </c>
      <c r="O34">
        <v>2.36</v>
      </c>
      <c r="P34" t="s">
        <v>660</v>
      </c>
      <c r="AA34">
        <v>40.840789999999998</v>
      </c>
      <c r="AB34">
        <v>-86.804919999999996</v>
      </c>
      <c r="AC34">
        <v>4</v>
      </c>
      <c r="AD34">
        <v>24</v>
      </c>
      <c r="AE34">
        <v>2023</v>
      </c>
      <c r="AF34" t="b">
        <v>0</v>
      </c>
      <c r="AG34" s="19">
        <v>45040</v>
      </c>
    </row>
    <row r="35" spans="1:33" x14ac:dyDescent="0.25">
      <c r="A35" s="25">
        <v>10034</v>
      </c>
      <c r="B35" t="s">
        <v>55</v>
      </c>
      <c r="C35" t="s">
        <v>518</v>
      </c>
      <c r="D35" s="27">
        <v>4103</v>
      </c>
      <c r="E35" s="27">
        <v>3</v>
      </c>
      <c r="F35" s="27"/>
      <c r="G35" s="27"/>
      <c r="H35" t="s">
        <v>18</v>
      </c>
      <c r="I35" s="24" t="s">
        <v>8</v>
      </c>
      <c r="J35">
        <v>2.0500000000000001E-2</v>
      </c>
      <c r="K35">
        <v>5.31</v>
      </c>
      <c r="L35">
        <v>-4.0000000000000001E-3</v>
      </c>
      <c r="M35">
        <v>4.9500000000000002E-2</v>
      </c>
      <c r="N35" t="s">
        <v>660</v>
      </c>
      <c r="O35">
        <v>2.2250000000000001</v>
      </c>
      <c r="P35" t="s">
        <v>660</v>
      </c>
      <c r="AA35">
        <v>40.842820000000003</v>
      </c>
      <c r="AB35">
        <v>-86.816339999999997</v>
      </c>
      <c r="AC35">
        <v>4</v>
      </c>
      <c r="AD35">
        <v>24</v>
      </c>
      <c r="AE35">
        <v>2023</v>
      </c>
      <c r="AF35" t="b">
        <v>0</v>
      </c>
      <c r="AG35" s="19">
        <v>45040</v>
      </c>
    </row>
    <row r="36" spans="1:33" x14ac:dyDescent="0.25">
      <c r="A36" s="25">
        <v>10035</v>
      </c>
      <c r="B36" t="s">
        <v>56</v>
      </c>
      <c r="C36" t="s">
        <v>519</v>
      </c>
      <c r="D36" s="27">
        <v>4104</v>
      </c>
      <c r="E36" s="27">
        <v>4</v>
      </c>
      <c r="F36" s="27"/>
      <c r="G36" s="27"/>
      <c r="H36" t="s">
        <v>18</v>
      </c>
      <c r="I36" s="24" t="s">
        <v>8</v>
      </c>
      <c r="J36">
        <v>9.7000000000000003E-3</v>
      </c>
      <c r="K36">
        <v>7.327</v>
      </c>
      <c r="L36">
        <v>-5.0000000000000001E-3</v>
      </c>
      <c r="M36">
        <v>5.6250000000000001E-2</v>
      </c>
      <c r="N36" t="s">
        <v>660</v>
      </c>
      <c r="O36">
        <v>9.43</v>
      </c>
      <c r="P36" t="s">
        <v>660</v>
      </c>
      <c r="AA36">
        <v>40.847239999999999</v>
      </c>
      <c r="AB36">
        <v>-86.81371</v>
      </c>
      <c r="AC36">
        <v>4</v>
      </c>
      <c r="AD36">
        <v>24</v>
      </c>
      <c r="AE36">
        <v>2023</v>
      </c>
      <c r="AF36" t="b">
        <v>0</v>
      </c>
      <c r="AG36" s="19">
        <v>45040</v>
      </c>
    </row>
    <row r="37" spans="1:33" x14ac:dyDescent="0.25">
      <c r="A37" s="25">
        <v>10036</v>
      </c>
      <c r="B37" t="s">
        <v>57</v>
      </c>
      <c r="C37" t="s">
        <v>520</v>
      </c>
      <c r="D37" s="27">
        <v>4105</v>
      </c>
      <c r="E37" s="27">
        <v>5</v>
      </c>
      <c r="F37" s="27"/>
      <c r="G37" s="27"/>
      <c r="H37" t="s">
        <v>18</v>
      </c>
      <c r="I37" s="24" t="s">
        <v>8</v>
      </c>
      <c r="J37">
        <v>3.09E-2</v>
      </c>
      <c r="K37">
        <v>4.7359999999999998</v>
      </c>
      <c r="L37">
        <v>-3.0000000000000001E-3</v>
      </c>
      <c r="M37">
        <v>6.0499999999999998E-2</v>
      </c>
      <c r="N37" t="s">
        <v>660</v>
      </c>
      <c r="O37">
        <v>24.82</v>
      </c>
      <c r="P37" t="s">
        <v>660</v>
      </c>
      <c r="AA37">
        <v>40.82403</v>
      </c>
      <c r="AB37">
        <v>-86.795940000000002</v>
      </c>
      <c r="AC37">
        <v>4</v>
      </c>
      <c r="AD37">
        <v>24</v>
      </c>
      <c r="AE37">
        <v>2023</v>
      </c>
      <c r="AF37" t="b">
        <v>0</v>
      </c>
      <c r="AG37" s="19">
        <v>45040</v>
      </c>
    </row>
    <row r="38" spans="1:33" x14ac:dyDescent="0.25">
      <c r="A38" s="25">
        <v>10037</v>
      </c>
      <c r="B38" t="s">
        <v>58</v>
      </c>
      <c r="C38" t="s">
        <v>520</v>
      </c>
      <c r="D38" s="27">
        <v>4105</v>
      </c>
      <c r="E38" s="27">
        <v>5</v>
      </c>
      <c r="F38" s="27"/>
      <c r="G38" s="27"/>
      <c r="H38" t="s">
        <v>18</v>
      </c>
      <c r="I38" s="24" t="s">
        <v>8</v>
      </c>
      <c r="J38">
        <v>1.54E-2</v>
      </c>
      <c r="K38">
        <v>2.8079999999999998</v>
      </c>
      <c r="L38">
        <v>-4.0000000000000001E-3</v>
      </c>
      <c r="M38">
        <v>1.6750000000000001E-2</v>
      </c>
      <c r="N38" t="s">
        <v>660</v>
      </c>
      <c r="O38">
        <v>2.1949999999999998</v>
      </c>
      <c r="P38" t="s">
        <v>660</v>
      </c>
      <c r="AA38">
        <v>40.823160000000001</v>
      </c>
      <c r="AB38">
        <v>-86.791169999999994</v>
      </c>
      <c r="AC38">
        <v>4</v>
      </c>
      <c r="AD38">
        <v>24</v>
      </c>
      <c r="AE38">
        <v>2023</v>
      </c>
      <c r="AF38" t="b">
        <v>0</v>
      </c>
      <c r="AG38" s="19">
        <v>45040</v>
      </c>
    </row>
    <row r="39" spans="1:33" x14ac:dyDescent="0.25">
      <c r="A39" s="25">
        <v>10038</v>
      </c>
      <c r="B39" t="s">
        <v>59</v>
      </c>
      <c r="C39" t="s">
        <v>521</v>
      </c>
      <c r="D39" s="27">
        <v>4108</v>
      </c>
      <c r="E39" s="27">
        <v>8</v>
      </c>
      <c r="F39" s="27"/>
      <c r="G39" s="27"/>
      <c r="H39" t="s">
        <v>18</v>
      </c>
      <c r="I39" s="24" t="s">
        <v>8</v>
      </c>
      <c r="J39">
        <v>0.70740000000000003</v>
      </c>
      <c r="K39">
        <v>3.169</v>
      </c>
      <c r="L39">
        <v>0.34399999999999997</v>
      </c>
      <c r="M39">
        <v>1.975E-2</v>
      </c>
      <c r="N39" t="s">
        <v>660</v>
      </c>
      <c r="O39">
        <v>0.59</v>
      </c>
      <c r="P39" t="s">
        <v>660</v>
      </c>
      <c r="AA39">
        <v>40.809220000000003</v>
      </c>
      <c r="AB39">
        <v>-86.790869999999998</v>
      </c>
      <c r="AC39">
        <v>4</v>
      </c>
      <c r="AD39">
        <v>24</v>
      </c>
      <c r="AE39">
        <v>2023</v>
      </c>
      <c r="AF39" t="b">
        <v>0</v>
      </c>
      <c r="AG39" s="19">
        <v>45040</v>
      </c>
    </row>
    <row r="40" spans="1:33" x14ac:dyDescent="0.25">
      <c r="A40" s="25">
        <v>10039</v>
      </c>
      <c r="B40" t="s">
        <v>60</v>
      </c>
      <c r="C40" t="s">
        <v>521</v>
      </c>
      <c r="D40" s="27">
        <v>4108</v>
      </c>
      <c r="E40" s="27">
        <v>8</v>
      </c>
      <c r="F40" s="27"/>
      <c r="G40" s="27"/>
      <c r="H40" t="s">
        <v>18</v>
      </c>
      <c r="I40" s="24" t="s">
        <v>8</v>
      </c>
      <c r="J40">
        <v>0.77429999999999999</v>
      </c>
      <c r="K40">
        <v>3.2149999999999999</v>
      </c>
      <c r="L40">
        <v>0.36249999999999999</v>
      </c>
      <c r="M40">
        <v>1.95E-2</v>
      </c>
      <c r="N40" t="s">
        <v>660</v>
      </c>
      <c r="O40">
        <v>0.65000000000000102</v>
      </c>
      <c r="P40" t="s">
        <v>660</v>
      </c>
      <c r="AA40">
        <v>40.809040000000003</v>
      </c>
      <c r="AB40">
        <v>-86.793700000000001</v>
      </c>
      <c r="AC40">
        <v>4</v>
      </c>
      <c r="AD40">
        <v>24</v>
      </c>
      <c r="AE40">
        <v>2023</v>
      </c>
      <c r="AF40" t="b">
        <v>0</v>
      </c>
      <c r="AG40" s="19">
        <v>45040</v>
      </c>
    </row>
    <row r="41" spans="1:33" x14ac:dyDescent="0.25">
      <c r="A41" s="25">
        <v>10040</v>
      </c>
      <c r="B41" t="s">
        <v>61</v>
      </c>
      <c r="C41" t="s">
        <v>522</v>
      </c>
      <c r="D41" s="27">
        <v>4109</v>
      </c>
      <c r="E41" s="27">
        <v>9</v>
      </c>
      <c r="F41" s="27"/>
      <c r="G41" s="27"/>
      <c r="H41" t="s">
        <v>18</v>
      </c>
      <c r="I41" s="24" t="s">
        <v>8</v>
      </c>
      <c r="J41">
        <v>2.6599999999999999E-2</v>
      </c>
      <c r="K41">
        <v>3.4249999999999998</v>
      </c>
      <c r="L41">
        <v>-8.0000000000000002E-3</v>
      </c>
      <c r="M41">
        <v>2.5250000000000002E-2</v>
      </c>
      <c r="N41" t="s">
        <v>660</v>
      </c>
      <c r="O41">
        <v>0.9</v>
      </c>
      <c r="P41" t="s">
        <v>660</v>
      </c>
      <c r="AA41">
        <v>40.803840000000001</v>
      </c>
      <c r="AB41">
        <v>-86.776250000000005</v>
      </c>
      <c r="AC41">
        <v>4</v>
      </c>
      <c r="AD41">
        <v>24</v>
      </c>
      <c r="AE41">
        <v>2023</v>
      </c>
      <c r="AF41" t="b">
        <v>0</v>
      </c>
      <c r="AG41" s="19">
        <v>45040</v>
      </c>
    </row>
    <row r="42" spans="1:33" x14ac:dyDescent="0.25">
      <c r="A42" s="25">
        <v>10041</v>
      </c>
      <c r="B42" t="s">
        <v>62</v>
      </c>
      <c r="C42" t="s">
        <v>523</v>
      </c>
      <c r="D42" s="27">
        <v>4110</v>
      </c>
      <c r="E42" s="27">
        <v>10</v>
      </c>
      <c r="F42" s="27"/>
      <c r="G42" s="27"/>
      <c r="H42" t="s">
        <v>18</v>
      </c>
      <c r="I42" s="24" t="s">
        <v>8</v>
      </c>
      <c r="J42">
        <v>0.65915000000000001</v>
      </c>
      <c r="K42">
        <v>3.411</v>
      </c>
      <c r="L42">
        <v>0.318</v>
      </c>
      <c r="M42">
        <v>3.6249999999999998E-2</v>
      </c>
      <c r="N42" t="s">
        <v>660</v>
      </c>
      <c r="O42">
        <v>0.93500000000000105</v>
      </c>
      <c r="P42" t="s">
        <v>660</v>
      </c>
      <c r="AA42">
        <v>40.794370000000001</v>
      </c>
      <c r="AB42">
        <v>-86.772639999999996</v>
      </c>
      <c r="AC42">
        <v>4</v>
      </c>
      <c r="AD42">
        <v>24</v>
      </c>
      <c r="AE42">
        <v>2023</v>
      </c>
      <c r="AF42" t="b">
        <v>0</v>
      </c>
      <c r="AG42" s="19">
        <v>45040</v>
      </c>
    </row>
    <row r="43" spans="1:33" x14ac:dyDescent="0.25">
      <c r="A43" s="25">
        <v>10042</v>
      </c>
      <c r="B43" t="s">
        <v>63</v>
      </c>
      <c r="C43" t="s">
        <v>524</v>
      </c>
      <c r="D43" s="27">
        <v>4111</v>
      </c>
      <c r="E43" s="27">
        <v>11</v>
      </c>
      <c r="F43" s="27"/>
      <c r="G43" s="27"/>
      <c r="H43" t="s">
        <v>18</v>
      </c>
      <c r="I43" s="24" t="s">
        <v>8</v>
      </c>
      <c r="J43">
        <v>0.78615000000000002</v>
      </c>
      <c r="K43">
        <v>3.5684999999999998</v>
      </c>
      <c r="L43">
        <v>0.29749999999999999</v>
      </c>
      <c r="M43">
        <v>2.8000000000000001E-2</v>
      </c>
      <c r="N43" t="s">
        <v>660</v>
      </c>
      <c r="O43">
        <v>7.835</v>
      </c>
      <c r="P43" t="s">
        <v>660</v>
      </c>
      <c r="AA43">
        <v>40.786769999999997</v>
      </c>
      <c r="AB43">
        <v>-86.770709999999994</v>
      </c>
      <c r="AC43">
        <v>4</v>
      </c>
      <c r="AD43">
        <v>24</v>
      </c>
      <c r="AE43">
        <v>2023</v>
      </c>
      <c r="AF43" t="b">
        <v>0</v>
      </c>
      <c r="AG43" s="19">
        <v>45040</v>
      </c>
    </row>
    <row r="44" spans="1:33" x14ac:dyDescent="0.25">
      <c r="A44" s="25">
        <v>10043</v>
      </c>
      <c r="B44" t="s">
        <v>64</v>
      </c>
      <c r="C44" t="s">
        <v>525</v>
      </c>
      <c r="D44" s="27">
        <v>4112</v>
      </c>
      <c r="E44" s="27">
        <v>12</v>
      </c>
      <c r="F44" s="27"/>
      <c r="G44" s="27"/>
      <c r="H44" t="s">
        <v>18</v>
      </c>
      <c r="I44" s="24" t="s">
        <v>8</v>
      </c>
      <c r="J44">
        <v>2.3699999999999999E-2</v>
      </c>
      <c r="K44">
        <v>3.4159999999999999</v>
      </c>
      <c r="L44">
        <v>-0.01</v>
      </c>
      <c r="M44">
        <v>3.7249999999999998E-2</v>
      </c>
      <c r="N44" t="s">
        <v>660</v>
      </c>
      <c r="O44">
        <v>7.6449999999999996</v>
      </c>
      <c r="P44" t="s">
        <v>660</v>
      </c>
      <c r="AA44">
        <v>40.781860000000002</v>
      </c>
      <c r="AB44">
        <v>-86.760980000000004</v>
      </c>
      <c r="AC44">
        <v>4</v>
      </c>
      <c r="AD44">
        <v>24</v>
      </c>
      <c r="AE44">
        <v>2023</v>
      </c>
      <c r="AF44" t="b">
        <v>0</v>
      </c>
      <c r="AG44" s="19">
        <v>45040</v>
      </c>
    </row>
    <row r="45" spans="1:33" x14ac:dyDescent="0.25">
      <c r="A45" s="25">
        <v>10044</v>
      </c>
      <c r="B45" t="s">
        <v>65</v>
      </c>
      <c r="C45" t="s">
        <v>526</v>
      </c>
      <c r="D45" s="27" t="s">
        <v>510</v>
      </c>
      <c r="E45" s="27" t="str">
        <f t="shared" ref="E45:E59" si="1">RIGHT(D45,2)</f>
        <v>?</v>
      </c>
      <c r="F45" s="27"/>
      <c r="G45" s="27"/>
      <c r="H45" t="s">
        <v>18</v>
      </c>
      <c r="I45" s="24" t="s">
        <v>9</v>
      </c>
      <c r="J45">
        <v>6.3200000000000006E-2</v>
      </c>
      <c r="K45">
        <v>4.7140000000000004</v>
      </c>
      <c r="L45">
        <v>-2E-3</v>
      </c>
      <c r="M45">
        <v>5.6000000000000001E-2</v>
      </c>
      <c r="N45" t="s">
        <v>660</v>
      </c>
      <c r="O45">
        <v>27.38</v>
      </c>
      <c r="P45" t="s">
        <v>660</v>
      </c>
      <c r="AA45">
        <v>40.825102999999999</v>
      </c>
      <c r="AB45">
        <v>-86.795000000000002</v>
      </c>
      <c r="AC45">
        <v>4</v>
      </c>
      <c r="AD45">
        <v>24</v>
      </c>
      <c r="AE45">
        <v>2023</v>
      </c>
      <c r="AF45" t="b">
        <v>0</v>
      </c>
      <c r="AG45" s="19">
        <v>45040</v>
      </c>
    </row>
    <row r="46" spans="1:33" x14ac:dyDescent="0.25">
      <c r="A46" s="25">
        <v>10045</v>
      </c>
      <c r="B46" t="s">
        <v>66</v>
      </c>
      <c r="C46" t="s">
        <v>527</v>
      </c>
      <c r="D46" s="27" t="s">
        <v>510</v>
      </c>
      <c r="E46" s="27" t="str">
        <f t="shared" si="1"/>
        <v>?</v>
      </c>
      <c r="F46" s="27"/>
      <c r="G46" s="27"/>
      <c r="H46" t="s">
        <v>17</v>
      </c>
      <c r="I46" s="24" t="s">
        <v>9</v>
      </c>
      <c r="J46">
        <v>2.5000000000000001E-3</v>
      </c>
      <c r="K46">
        <v>6.6790000000000003</v>
      </c>
      <c r="L46">
        <v>0.16</v>
      </c>
      <c r="M46">
        <v>0.2135</v>
      </c>
      <c r="N46" t="s">
        <v>660</v>
      </c>
      <c r="O46">
        <v>1.54</v>
      </c>
      <c r="P46" t="s">
        <v>660</v>
      </c>
      <c r="AA46">
        <v>40.668348999999999</v>
      </c>
      <c r="AB46">
        <v>-85.848617000000004</v>
      </c>
      <c r="AC46">
        <v>5</v>
      </c>
      <c r="AD46">
        <v>10</v>
      </c>
      <c r="AE46">
        <v>2023</v>
      </c>
      <c r="AF46" t="b">
        <v>0</v>
      </c>
      <c r="AG46" s="19">
        <v>45056</v>
      </c>
    </row>
    <row r="47" spans="1:33" x14ac:dyDescent="0.25">
      <c r="A47" s="25">
        <v>10046</v>
      </c>
      <c r="B47" t="s">
        <v>67</v>
      </c>
      <c r="C47" t="s">
        <v>527</v>
      </c>
      <c r="D47" s="27" t="s">
        <v>510</v>
      </c>
      <c r="E47" s="27" t="str">
        <f t="shared" si="1"/>
        <v>?</v>
      </c>
      <c r="F47" s="27"/>
      <c r="G47" s="27"/>
      <c r="H47" t="s">
        <v>17</v>
      </c>
      <c r="I47" s="24" t="s">
        <v>9</v>
      </c>
      <c r="J47">
        <v>0.16289999999999999</v>
      </c>
      <c r="K47">
        <v>6.6420000000000003</v>
      </c>
      <c r="L47">
        <v>8.5999999999999993E-2</v>
      </c>
      <c r="M47">
        <v>0.21299999999999999</v>
      </c>
      <c r="N47" t="s">
        <v>660</v>
      </c>
      <c r="O47">
        <v>1.5349999999999999</v>
      </c>
      <c r="P47" t="s">
        <v>660</v>
      </c>
      <c r="AA47">
        <v>40.668568</v>
      </c>
      <c r="AB47">
        <v>-85.848866999999998</v>
      </c>
      <c r="AC47">
        <v>5</v>
      </c>
      <c r="AD47">
        <v>10</v>
      </c>
      <c r="AE47">
        <v>2023</v>
      </c>
      <c r="AF47" t="b">
        <v>0</v>
      </c>
      <c r="AG47" s="19">
        <v>45056</v>
      </c>
    </row>
    <row r="48" spans="1:33" x14ac:dyDescent="0.25">
      <c r="A48" s="25">
        <v>10047</v>
      </c>
      <c r="B48" t="s">
        <v>68</v>
      </c>
      <c r="C48" t="s">
        <v>527</v>
      </c>
      <c r="D48" s="27" t="s">
        <v>510</v>
      </c>
      <c r="E48" s="27" t="str">
        <f t="shared" si="1"/>
        <v>?</v>
      </c>
      <c r="F48" s="27"/>
      <c r="G48" s="27"/>
      <c r="H48" t="s">
        <v>17</v>
      </c>
      <c r="I48" s="24" t="s">
        <v>9</v>
      </c>
      <c r="J48">
        <v>1.0888</v>
      </c>
      <c r="K48">
        <v>1.78</v>
      </c>
      <c r="L48">
        <v>0.28499999999999998</v>
      </c>
      <c r="M48">
        <v>0.17599999999999999</v>
      </c>
      <c r="N48" t="s">
        <v>660</v>
      </c>
      <c r="O48">
        <v>9.8550000000000004</v>
      </c>
      <c r="P48" t="s">
        <v>660</v>
      </c>
      <c r="AA48">
        <v>40.680658000000001</v>
      </c>
      <c r="AB48">
        <v>-85.895797999999999</v>
      </c>
      <c r="AC48">
        <v>5</v>
      </c>
      <c r="AD48">
        <v>10</v>
      </c>
      <c r="AE48">
        <v>2023</v>
      </c>
      <c r="AF48" t="b">
        <v>0</v>
      </c>
      <c r="AG48" s="19">
        <v>45056</v>
      </c>
    </row>
    <row r="49" spans="1:33" x14ac:dyDescent="0.25">
      <c r="A49" s="25">
        <v>10048</v>
      </c>
      <c r="B49" t="s">
        <v>69</v>
      </c>
      <c r="C49" t="s">
        <v>527</v>
      </c>
      <c r="D49" s="27" t="s">
        <v>510</v>
      </c>
      <c r="E49" s="27" t="str">
        <f t="shared" si="1"/>
        <v>?</v>
      </c>
      <c r="F49" s="27"/>
      <c r="G49" s="27"/>
      <c r="H49" t="s">
        <v>17</v>
      </c>
      <c r="I49" s="24" t="s">
        <v>9</v>
      </c>
      <c r="J49">
        <v>1.0567</v>
      </c>
      <c r="K49">
        <v>4.6414999999999997</v>
      </c>
      <c r="L49">
        <v>0.26850000000000002</v>
      </c>
      <c r="M49">
        <v>0.375</v>
      </c>
      <c r="N49" t="s">
        <v>660</v>
      </c>
      <c r="O49">
        <v>7.8250000000000002</v>
      </c>
      <c r="P49" t="s">
        <v>660</v>
      </c>
      <c r="AA49">
        <v>40.680740999999998</v>
      </c>
      <c r="AB49">
        <v>-85.895804999999996</v>
      </c>
      <c r="AC49">
        <v>5</v>
      </c>
      <c r="AD49">
        <v>10</v>
      </c>
      <c r="AE49">
        <v>2023</v>
      </c>
      <c r="AF49" t="b">
        <v>0</v>
      </c>
      <c r="AG49" s="19">
        <v>45056</v>
      </c>
    </row>
    <row r="50" spans="1:33" x14ac:dyDescent="0.25">
      <c r="A50" s="25">
        <v>10049</v>
      </c>
      <c r="B50" t="s">
        <v>70</v>
      </c>
      <c r="C50" t="s">
        <v>527</v>
      </c>
      <c r="D50" s="27" t="s">
        <v>510</v>
      </c>
      <c r="E50" s="27" t="str">
        <f t="shared" si="1"/>
        <v>?</v>
      </c>
      <c r="F50" s="27"/>
      <c r="G50" s="27"/>
      <c r="H50" t="s">
        <v>17</v>
      </c>
      <c r="I50" s="24" t="s">
        <v>9</v>
      </c>
      <c r="J50">
        <v>1.37395</v>
      </c>
      <c r="K50">
        <v>4.1580000000000004</v>
      </c>
      <c r="L50">
        <v>0.42649999999999999</v>
      </c>
      <c r="M50">
        <v>6.7000000000000004E-2</v>
      </c>
      <c r="N50" t="s">
        <v>660</v>
      </c>
      <c r="O50">
        <v>10.16</v>
      </c>
      <c r="P50" t="s">
        <v>660</v>
      </c>
      <c r="AA50">
        <v>40.680776999999999</v>
      </c>
      <c r="AB50">
        <v>-85.895501999999993</v>
      </c>
      <c r="AC50">
        <v>5</v>
      </c>
      <c r="AD50">
        <v>10</v>
      </c>
      <c r="AE50">
        <v>2023</v>
      </c>
      <c r="AF50" t="b">
        <v>0</v>
      </c>
      <c r="AG50" s="19">
        <v>45056</v>
      </c>
    </row>
    <row r="51" spans="1:33" x14ac:dyDescent="0.25">
      <c r="A51" s="25">
        <v>10050</v>
      </c>
      <c r="B51" t="s">
        <v>71</v>
      </c>
      <c r="C51" t="s">
        <v>527</v>
      </c>
      <c r="D51" s="27" t="s">
        <v>510</v>
      </c>
      <c r="E51" s="27" t="str">
        <f t="shared" si="1"/>
        <v>?</v>
      </c>
      <c r="F51" s="27"/>
      <c r="G51" s="27"/>
      <c r="H51" t="s">
        <v>17</v>
      </c>
      <c r="I51" s="24" t="s">
        <v>9</v>
      </c>
      <c r="J51">
        <v>0.6532</v>
      </c>
      <c r="K51">
        <v>3.5209999999999999</v>
      </c>
      <c r="L51">
        <v>0.29549999999999998</v>
      </c>
      <c r="M51">
        <v>0.1055</v>
      </c>
      <c r="N51" t="s">
        <v>660</v>
      </c>
      <c r="O51">
        <v>2.76</v>
      </c>
      <c r="P51" t="s">
        <v>660</v>
      </c>
      <c r="AA51">
        <v>40.705710000000003</v>
      </c>
      <c r="AB51">
        <v>-85.954143000000002</v>
      </c>
      <c r="AC51">
        <v>5</v>
      </c>
      <c r="AD51">
        <v>10</v>
      </c>
      <c r="AE51">
        <v>2023</v>
      </c>
      <c r="AF51" t="b">
        <v>0</v>
      </c>
      <c r="AG51" s="19">
        <v>45056</v>
      </c>
    </row>
    <row r="52" spans="1:33" x14ac:dyDescent="0.25">
      <c r="A52" s="25">
        <v>10051</v>
      </c>
      <c r="B52" t="s">
        <v>72</v>
      </c>
      <c r="C52" t="s">
        <v>527</v>
      </c>
      <c r="D52" s="27" t="s">
        <v>510</v>
      </c>
      <c r="E52" s="27" t="str">
        <f t="shared" si="1"/>
        <v>?</v>
      </c>
      <c r="F52" s="27"/>
      <c r="G52" s="27"/>
      <c r="H52" t="s">
        <v>17</v>
      </c>
      <c r="I52" s="24" t="s">
        <v>9</v>
      </c>
      <c r="J52">
        <v>0.46650000000000003</v>
      </c>
      <c r="K52">
        <v>3.7254999999999998</v>
      </c>
      <c r="L52">
        <v>0.186</v>
      </c>
      <c r="M52">
        <v>9.6500000000000002E-2</v>
      </c>
      <c r="N52" t="s">
        <v>660</v>
      </c>
      <c r="O52">
        <v>1.67</v>
      </c>
      <c r="P52" t="s">
        <v>660</v>
      </c>
      <c r="AA52">
        <v>40.7057</v>
      </c>
      <c r="AB52">
        <v>-85.954340000000002</v>
      </c>
      <c r="AC52">
        <v>5</v>
      </c>
      <c r="AD52">
        <v>10</v>
      </c>
      <c r="AE52">
        <v>2023</v>
      </c>
      <c r="AF52" t="b">
        <v>0</v>
      </c>
      <c r="AG52" s="19">
        <v>45056</v>
      </c>
    </row>
    <row r="53" spans="1:33" x14ac:dyDescent="0.25">
      <c r="A53" s="25">
        <v>10052</v>
      </c>
      <c r="B53" t="s">
        <v>73</v>
      </c>
      <c r="C53" t="s">
        <v>527</v>
      </c>
      <c r="D53" s="27" t="s">
        <v>510</v>
      </c>
      <c r="E53" s="27" t="str">
        <f t="shared" si="1"/>
        <v>?</v>
      </c>
      <c r="F53" s="27"/>
      <c r="G53" s="27"/>
      <c r="H53" t="s">
        <v>17</v>
      </c>
      <c r="I53" s="24" t="s">
        <v>9</v>
      </c>
      <c r="J53">
        <v>0.87075000000000002</v>
      </c>
      <c r="K53">
        <v>3.5895000000000001</v>
      </c>
      <c r="L53">
        <v>0.33850000000000002</v>
      </c>
      <c r="M53">
        <v>9.1999999999999998E-2</v>
      </c>
      <c r="N53" t="s">
        <v>660</v>
      </c>
      <c r="O53">
        <v>3.59</v>
      </c>
      <c r="P53" t="s">
        <v>660</v>
      </c>
      <c r="AA53">
        <v>40.705266000000002</v>
      </c>
      <c r="AB53">
        <v>-85.953220000000002</v>
      </c>
      <c r="AC53">
        <v>5</v>
      </c>
      <c r="AD53">
        <v>10</v>
      </c>
      <c r="AE53">
        <v>2023</v>
      </c>
      <c r="AF53" t="b">
        <v>0</v>
      </c>
      <c r="AG53" s="19">
        <v>45056</v>
      </c>
    </row>
    <row r="54" spans="1:33" x14ac:dyDescent="0.25">
      <c r="A54" s="25">
        <v>10053</v>
      </c>
      <c r="B54" t="s">
        <v>74</v>
      </c>
      <c r="C54" t="s">
        <v>527</v>
      </c>
      <c r="D54" s="27" t="s">
        <v>510</v>
      </c>
      <c r="E54" s="27" t="str">
        <f t="shared" si="1"/>
        <v>?</v>
      </c>
      <c r="F54" s="27"/>
      <c r="G54" s="27"/>
      <c r="H54" t="s">
        <v>17</v>
      </c>
      <c r="I54" s="24" t="s">
        <v>9</v>
      </c>
      <c r="J54">
        <v>1.30515</v>
      </c>
      <c r="K54">
        <v>3.7654999999999998</v>
      </c>
      <c r="L54">
        <v>0.498</v>
      </c>
      <c r="M54">
        <v>7.6499999999999999E-2</v>
      </c>
      <c r="N54" t="s">
        <v>660</v>
      </c>
      <c r="O54">
        <v>4.5250000000000004</v>
      </c>
      <c r="P54" t="s">
        <v>660</v>
      </c>
      <c r="AA54">
        <v>40.705435999999999</v>
      </c>
      <c r="AB54">
        <v>-85.953237999999999</v>
      </c>
      <c r="AC54">
        <v>5</v>
      </c>
      <c r="AD54">
        <v>10</v>
      </c>
      <c r="AE54">
        <v>2023</v>
      </c>
      <c r="AF54" t="b">
        <v>0</v>
      </c>
      <c r="AG54" s="19">
        <v>45056</v>
      </c>
    </row>
    <row r="55" spans="1:33" x14ac:dyDescent="0.25">
      <c r="A55" s="25">
        <v>10054</v>
      </c>
      <c r="B55" t="s">
        <v>75</v>
      </c>
      <c r="C55" t="s">
        <v>527</v>
      </c>
      <c r="D55" s="27" t="s">
        <v>510</v>
      </c>
      <c r="E55" s="27" t="str">
        <f t="shared" si="1"/>
        <v>?</v>
      </c>
      <c r="F55" s="27"/>
      <c r="G55" s="27"/>
      <c r="H55" t="s">
        <v>17</v>
      </c>
      <c r="I55" s="24" t="s">
        <v>9</v>
      </c>
      <c r="J55">
        <v>1.2827999999999999</v>
      </c>
      <c r="K55">
        <v>3.3065000000000002</v>
      </c>
      <c r="L55">
        <v>0.38500000000000001</v>
      </c>
      <c r="M55">
        <v>5.3999999999999999E-2</v>
      </c>
      <c r="N55" t="s">
        <v>660</v>
      </c>
      <c r="O55">
        <v>3.25</v>
      </c>
      <c r="P55" t="s">
        <v>660</v>
      </c>
      <c r="AA55">
        <v>40.705719999999999</v>
      </c>
      <c r="AB55">
        <v>-85.952410999999998</v>
      </c>
      <c r="AC55">
        <v>5</v>
      </c>
      <c r="AD55">
        <v>10</v>
      </c>
      <c r="AE55">
        <v>2023</v>
      </c>
      <c r="AF55" t="b">
        <v>0</v>
      </c>
      <c r="AG55" s="19">
        <v>45056</v>
      </c>
    </row>
    <row r="56" spans="1:33" x14ac:dyDescent="0.25">
      <c r="A56" s="25">
        <v>10055</v>
      </c>
      <c r="B56" t="s">
        <v>76</v>
      </c>
      <c r="C56" t="s">
        <v>527</v>
      </c>
      <c r="D56" s="27" t="s">
        <v>510</v>
      </c>
      <c r="E56" s="27" t="str">
        <f t="shared" si="1"/>
        <v>?</v>
      </c>
      <c r="F56" s="27"/>
      <c r="G56" s="27"/>
      <c r="H56" t="s">
        <v>17</v>
      </c>
      <c r="I56" s="24" t="s">
        <v>9</v>
      </c>
      <c r="J56">
        <v>0.13505</v>
      </c>
      <c r="K56">
        <v>3.4390000000000001</v>
      </c>
      <c r="L56">
        <v>0.19450000000000001</v>
      </c>
      <c r="M56">
        <v>0.122</v>
      </c>
      <c r="N56" t="s">
        <v>660</v>
      </c>
      <c r="O56">
        <v>5.53</v>
      </c>
      <c r="P56" t="s">
        <v>660</v>
      </c>
      <c r="AA56">
        <v>40.714288000000003</v>
      </c>
      <c r="AB56">
        <v>-85.936812000000003</v>
      </c>
      <c r="AC56">
        <v>5</v>
      </c>
      <c r="AD56">
        <v>10</v>
      </c>
      <c r="AE56">
        <v>2023</v>
      </c>
      <c r="AF56" t="b">
        <v>0</v>
      </c>
      <c r="AG56" s="19">
        <v>45056</v>
      </c>
    </row>
    <row r="57" spans="1:33" x14ac:dyDescent="0.25">
      <c r="A57" s="25">
        <v>10056</v>
      </c>
      <c r="B57" t="s">
        <v>77</v>
      </c>
      <c r="C57" t="s">
        <v>527</v>
      </c>
      <c r="D57" s="27" t="s">
        <v>510</v>
      </c>
      <c r="E57" s="27" t="str">
        <f t="shared" si="1"/>
        <v>?</v>
      </c>
      <c r="F57" s="27"/>
      <c r="G57" s="27"/>
      <c r="H57" t="s">
        <v>17</v>
      </c>
      <c r="I57" s="24" t="s">
        <v>9</v>
      </c>
      <c r="J57">
        <v>0.37059999999999998</v>
      </c>
      <c r="K57">
        <v>3.6655000000000002</v>
      </c>
      <c r="L57">
        <v>0.18099999999999999</v>
      </c>
      <c r="M57">
        <v>0.14249999999999999</v>
      </c>
      <c r="N57" t="s">
        <v>660</v>
      </c>
      <c r="O57">
        <v>3.11</v>
      </c>
      <c r="P57" t="s">
        <v>660</v>
      </c>
      <c r="AA57">
        <v>40.714489999999998</v>
      </c>
      <c r="AB57">
        <v>-85.937780000000004</v>
      </c>
      <c r="AC57">
        <v>5</v>
      </c>
      <c r="AD57">
        <v>10</v>
      </c>
      <c r="AE57">
        <v>2023</v>
      </c>
      <c r="AF57" t="b">
        <v>0</v>
      </c>
      <c r="AG57" s="19">
        <v>45056</v>
      </c>
    </row>
    <row r="58" spans="1:33" x14ac:dyDescent="0.25">
      <c r="A58" s="25">
        <v>10057</v>
      </c>
      <c r="B58" t="s">
        <v>78</v>
      </c>
      <c r="C58" t="s">
        <v>527</v>
      </c>
      <c r="D58" s="27" t="s">
        <v>510</v>
      </c>
      <c r="E58" s="27" t="str">
        <f t="shared" si="1"/>
        <v>?</v>
      </c>
      <c r="F58" s="27"/>
      <c r="G58" s="27"/>
      <c r="H58" t="s">
        <v>17</v>
      </c>
      <c r="I58" s="24" t="s">
        <v>9</v>
      </c>
      <c r="J58">
        <v>0.40849999999999997</v>
      </c>
      <c r="K58">
        <v>6.5170000000000003</v>
      </c>
      <c r="L58">
        <v>0.46850000000000003</v>
      </c>
      <c r="M58">
        <v>0.27</v>
      </c>
      <c r="N58" t="s">
        <v>660</v>
      </c>
      <c r="O58">
        <v>0.85</v>
      </c>
      <c r="P58" t="s">
        <v>660</v>
      </c>
      <c r="AA58">
        <v>40.676472222222202</v>
      </c>
      <c r="AB58">
        <v>-85.807166666666703</v>
      </c>
      <c r="AC58">
        <v>5</v>
      </c>
      <c r="AD58">
        <v>10</v>
      </c>
      <c r="AE58">
        <v>2023</v>
      </c>
      <c r="AF58" t="b">
        <v>0</v>
      </c>
      <c r="AG58" s="19">
        <v>45056</v>
      </c>
    </row>
    <row r="59" spans="1:33" x14ac:dyDescent="0.25">
      <c r="A59" s="25">
        <v>10058</v>
      </c>
      <c r="B59" t="s">
        <v>79</v>
      </c>
      <c r="C59" t="s">
        <v>527</v>
      </c>
      <c r="D59" s="27" t="s">
        <v>510</v>
      </c>
      <c r="E59" s="27" t="str">
        <f t="shared" si="1"/>
        <v>?</v>
      </c>
      <c r="F59" s="27"/>
      <c r="G59" s="27"/>
      <c r="H59" t="s">
        <v>17</v>
      </c>
      <c r="I59" s="24" t="s">
        <v>9</v>
      </c>
      <c r="J59">
        <v>1.25935</v>
      </c>
      <c r="K59">
        <v>8.0395000000000003</v>
      </c>
      <c r="L59">
        <v>0.73599999999999999</v>
      </c>
      <c r="N59" t="s">
        <v>660</v>
      </c>
      <c r="O59">
        <v>0.44500000000000001</v>
      </c>
      <c r="P59" t="s">
        <v>660</v>
      </c>
      <c r="AA59">
        <v>40.672388888888896</v>
      </c>
      <c r="AB59">
        <v>-85.773333333333298</v>
      </c>
      <c r="AC59">
        <v>5</v>
      </c>
      <c r="AD59">
        <v>10</v>
      </c>
      <c r="AE59">
        <v>2023</v>
      </c>
      <c r="AF59" t="b">
        <v>0</v>
      </c>
      <c r="AG59" s="19">
        <v>45056</v>
      </c>
    </row>
    <row r="60" spans="1:33" x14ac:dyDescent="0.25">
      <c r="A60" s="25">
        <v>10059</v>
      </c>
      <c r="B60" t="s">
        <v>80</v>
      </c>
      <c r="C60" t="s">
        <v>528</v>
      </c>
      <c r="D60" s="27">
        <v>1101</v>
      </c>
      <c r="E60" s="27">
        <v>1</v>
      </c>
      <c r="F60" s="27"/>
      <c r="G60" s="27"/>
      <c r="H60" t="s">
        <v>508</v>
      </c>
      <c r="I60" s="24" t="s">
        <v>8</v>
      </c>
      <c r="J60">
        <v>0.1694</v>
      </c>
      <c r="K60">
        <v>6.4480000000000004</v>
      </c>
      <c r="L60">
        <v>1.2E-2</v>
      </c>
      <c r="M60">
        <v>0.11749999999999999</v>
      </c>
      <c r="N60" t="s">
        <v>660</v>
      </c>
      <c r="O60">
        <v>1.4</v>
      </c>
      <c r="P60" t="s">
        <v>660</v>
      </c>
      <c r="AA60">
        <v>40.730086</v>
      </c>
      <c r="AB60">
        <v>-86.757299000000003</v>
      </c>
      <c r="AC60">
        <v>5</v>
      </c>
      <c r="AD60">
        <v>17</v>
      </c>
      <c r="AE60">
        <v>2023</v>
      </c>
      <c r="AF60" t="b">
        <v>0</v>
      </c>
      <c r="AG60" s="19">
        <v>45063</v>
      </c>
    </row>
    <row r="61" spans="1:33" x14ac:dyDescent="0.25">
      <c r="A61" s="25">
        <v>10060</v>
      </c>
      <c r="B61" t="s">
        <v>81</v>
      </c>
      <c r="C61" t="s">
        <v>528</v>
      </c>
      <c r="D61" s="27">
        <v>1101</v>
      </c>
      <c r="E61" s="27">
        <v>1</v>
      </c>
      <c r="F61" s="27"/>
      <c r="G61" s="27"/>
      <c r="H61" t="s">
        <v>508</v>
      </c>
      <c r="I61" s="24" t="s">
        <v>8</v>
      </c>
      <c r="J61">
        <v>2.92E-2</v>
      </c>
      <c r="K61">
        <v>6.7409999999999997</v>
      </c>
      <c r="L61">
        <v>0.26800000000000002</v>
      </c>
      <c r="M61">
        <v>0.17549999999999999</v>
      </c>
      <c r="N61" t="s">
        <v>660</v>
      </c>
      <c r="O61">
        <v>0.85499999999999998</v>
      </c>
      <c r="P61" t="s">
        <v>660</v>
      </c>
      <c r="AA61">
        <v>40.729320000000001</v>
      </c>
      <c r="AB61">
        <v>-86.756870000000006</v>
      </c>
      <c r="AC61">
        <v>5</v>
      </c>
      <c r="AD61">
        <v>17</v>
      </c>
      <c r="AE61">
        <v>2023</v>
      </c>
      <c r="AF61" t="b">
        <v>0</v>
      </c>
      <c r="AG61" s="19">
        <v>45063</v>
      </c>
    </row>
    <row r="62" spans="1:33" x14ac:dyDescent="0.25">
      <c r="A62" s="25">
        <v>10061</v>
      </c>
      <c r="B62" t="s">
        <v>82</v>
      </c>
      <c r="C62" t="s">
        <v>528</v>
      </c>
      <c r="D62" s="27">
        <v>1101</v>
      </c>
      <c r="E62" s="27">
        <v>1</v>
      </c>
      <c r="F62" s="27"/>
      <c r="G62" s="27"/>
      <c r="H62" t="s">
        <v>508</v>
      </c>
      <c r="I62" s="24" t="s">
        <v>8</v>
      </c>
      <c r="J62">
        <v>0.01</v>
      </c>
      <c r="K62">
        <v>6.6239999999999997</v>
      </c>
      <c r="L62">
        <v>3.5999999999999997E-2</v>
      </c>
      <c r="M62">
        <v>0.1115</v>
      </c>
      <c r="N62" t="s">
        <v>660</v>
      </c>
      <c r="O62">
        <v>1.105</v>
      </c>
      <c r="P62" t="s">
        <v>660</v>
      </c>
      <c r="AA62">
        <v>40.72871</v>
      </c>
      <c r="AB62">
        <v>-86.756010000000003</v>
      </c>
      <c r="AC62">
        <v>5</v>
      </c>
      <c r="AD62">
        <v>17</v>
      </c>
      <c r="AE62">
        <v>2023</v>
      </c>
      <c r="AF62" t="b">
        <v>0</v>
      </c>
      <c r="AG62" s="19">
        <v>45063</v>
      </c>
    </row>
    <row r="63" spans="1:33" x14ac:dyDescent="0.25">
      <c r="A63" s="25">
        <v>10062</v>
      </c>
      <c r="B63" t="s">
        <v>83</v>
      </c>
      <c r="C63" t="s">
        <v>529</v>
      </c>
      <c r="D63" s="27">
        <v>1102</v>
      </c>
      <c r="E63" s="27">
        <v>2</v>
      </c>
      <c r="F63" s="27"/>
      <c r="G63" s="27"/>
      <c r="H63" t="s">
        <v>508</v>
      </c>
      <c r="I63" s="24" t="s">
        <v>8</v>
      </c>
      <c r="J63">
        <v>2.18E-2</v>
      </c>
      <c r="K63">
        <v>6.3220000000000001</v>
      </c>
      <c r="L63">
        <v>0.04</v>
      </c>
      <c r="M63">
        <v>0.1065</v>
      </c>
      <c r="N63" t="s">
        <v>660</v>
      </c>
      <c r="O63">
        <v>1.27</v>
      </c>
      <c r="P63" t="s">
        <v>660</v>
      </c>
      <c r="AA63">
        <v>40.723641000000001</v>
      </c>
      <c r="AB63">
        <v>-86.756487000000007</v>
      </c>
      <c r="AC63">
        <v>5</v>
      </c>
      <c r="AD63">
        <v>17</v>
      </c>
      <c r="AE63">
        <v>2023</v>
      </c>
      <c r="AF63" t="b">
        <v>0</v>
      </c>
      <c r="AG63" s="19">
        <v>45063</v>
      </c>
    </row>
    <row r="64" spans="1:33" x14ac:dyDescent="0.25">
      <c r="A64" s="25">
        <v>10063</v>
      </c>
      <c r="B64" t="s">
        <v>84</v>
      </c>
      <c r="C64" t="s">
        <v>530</v>
      </c>
      <c r="D64" s="27">
        <v>1103</v>
      </c>
      <c r="E64" s="27">
        <v>3</v>
      </c>
      <c r="F64" s="27"/>
      <c r="G64" s="27"/>
      <c r="H64" t="s">
        <v>508</v>
      </c>
      <c r="I64" s="24" t="s">
        <v>8</v>
      </c>
      <c r="J64">
        <v>0.38585000000000003</v>
      </c>
      <c r="K64">
        <v>4.9820000000000002</v>
      </c>
      <c r="L64">
        <v>3.3500000000000002E-2</v>
      </c>
      <c r="M64">
        <v>0.1145</v>
      </c>
      <c r="N64" t="s">
        <v>660</v>
      </c>
      <c r="O64">
        <v>1.56</v>
      </c>
      <c r="P64" t="s">
        <v>660</v>
      </c>
      <c r="AA64">
        <v>40.7087222222222</v>
      </c>
      <c r="AB64">
        <v>-86.755277777777806</v>
      </c>
      <c r="AC64">
        <v>5</v>
      </c>
      <c r="AD64">
        <v>17</v>
      </c>
      <c r="AE64">
        <v>2023</v>
      </c>
      <c r="AF64" t="b">
        <v>0</v>
      </c>
      <c r="AG64" s="19">
        <v>45063</v>
      </c>
    </row>
    <row r="65" spans="1:33" x14ac:dyDescent="0.25">
      <c r="A65" s="25">
        <v>10064</v>
      </c>
      <c r="B65" t="s">
        <v>85</v>
      </c>
      <c r="C65" t="s">
        <v>529</v>
      </c>
      <c r="D65" s="27">
        <v>1102</v>
      </c>
      <c r="E65" s="27">
        <v>2</v>
      </c>
      <c r="F65" s="27"/>
      <c r="G65" s="27"/>
      <c r="H65" t="s">
        <v>508</v>
      </c>
      <c r="I65" s="24" t="s">
        <v>8</v>
      </c>
      <c r="J65">
        <v>0.1678</v>
      </c>
      <c r="K65">
        <v>6.6120000000000001</v>
      </c>
      <c r="L65">
        <v>1.4999999999999999E-2</v>
      </c>
      <c r="M65">
        <v>0.106</v>
      </c>
      <c r="N65" t="s">
        <v>660</v>
      </c>
      <c r="O65">
        <v>1.32</v>
      </c>
      <c r="P65" t="s">
        <v>660</v>
      </c>
      <c r="AA65">
        <v>40.720305555555598</v>
      </c>
      <c r="AB65">
        <v>-86.754222222222197</v>
      </c>
      <c r="AC65">
        <v>5</v>
      </c>
      <c r="AD65">
        <v>17</v>
      </c>
      <c r="AE65">
        <v>2023</v>
      </c>
      <c r="AF65" t="b">
        <v>0</v>
      </c>
      <c r="AG65" s="19">
        <v>45063</v>
      </c>
    </row>
    <row r="66" spans="1:33" x14ac:dyDescent="0.25">
      <c r="A66" s="25">
        <v>10065</v>
      </c>
      <c r="B66" t="s">
        <v>86</v>
      </c>
      <c r="C66" t="s">
        <v>529</v>
      </c>
      <c r="D66" s="27">
        <v>1102</v>
      </c>
      <c r="E66" s="27">
        <v>2</v>
      </c>
      <c r="F66" s="27"/>
      <c r="G66" s="27"/>
      <c r="H66" t="s">
        <v>508</v>
      </c>
      <c r="I66" s="24" t="s">
        <v>8</v>
      </c>
      <c r="J66">
        <v>1.66E-2</v>
      </c>
      <c r="K66">
        <v>6.383</v>
      </c>
      <c r="L66">
        <v>3.4000000000000002E-2</v>
      </c>
      <c r="M66">
        <v>0.109</v>
      </c>
      <c r="N66" t="s">
        <v>660</v>
      </c>
      <c r="O66">
        <v>1.24</v>
      </c>
      <c r="P66" t="s">
        <v>660</v>
      </c>
      <c r="AA66">
        <v>40.721412000000001</v>
      </c>
      <c r="AB66">
        <v>-86.749593000000004</v>
      </c>
      <c r="AC66">
        <v>5</v>
      </c>
      <c r="AD66">
        <v>17</v>
      </c>
      <c r="AE66">
        <v>2023</v>
      </c>
      <c r="AF66" t="b">
        <v>0</v>
      </c>
      <c r="AG66" s="19">
        <v>45063</v>
      </c>
    </row>
    <row r="67" spans="1:33" x14ac:dyDescent="0.25">
      <c r="A67" s="25">
        <v>10066</v>
      </c>
      <c r="B67" t="s">
        <v>87</v>
      </c>
      <c r="C67" t="s">
        <v>530</v>
      </c>
      <c r="D67" s="27">
        <v>1103</v>
      </c>
      <c r="E67" s="27">
        <v>3</v>
      </c>
      <c r="F67" s="27"/>
      <c r="G67" s="27"/>
      <c r="H67" t="s">
        <v>508</v>
      </c>
      <c r="I67" s="24" t="s">
        <v>8</v>
      </c>
      <c r="J67">
        <v>0.20680000000000001</v>
      </c>
      <c r="K67">
        <v>7.0979999999999999</v>
      </c>
      <c r="L67">
        <v>3.5999999999999997E-2</v>
      </c>
      <c r="M67">
        <v>0.10299999999999999</v>
      </c>
      <c r="N67" t="s">
        <v>660</v>
      </c>
      <c r="O67">
        <v>1.1399999999999999</v>
      </c>
      <c r="P67" t="s">
        <v>660</v>
      </c>
      <c r="AA67">
        <v>40.715583333333299</v>
      </c>
      <c r="AB67">
        <v>-86.748111111111101</v>
      </c>
      <c r="AC67">
        <v>5</v>
      </c>
      <c r="AD67">
        <v>17</v>
      </c>
      <c r="AE67">
        <v>2023</v>
      </c>
      <c r="AF67" t="b">
        <v>0</v>
      </c>
      <c r="AG67" s="19">
        <v>45063</v>
      </c>
    </row>
    <row r="68" spans="1:33" x14ac:dyDescent="0.25">
      <c r="A68" s="25">
        <v>10067</v>
      </c>
      <c r="B68" t="s">
        <v>88</v>
      </c>
      <c r="C68" t="s">
        <v>530</v>
      </c>
      <c r="D68" s="27">
        <v>1103</v>
      </c>
      <c r="E68" s="27">
        <v>3</v>
      </c>
      <c r="F68" s="27"/>
      <c r="G68" s="27"/>
      <c r="H68" t="s">
        <v>508</v>
      </c>
      <c r="I68" s="24" t="s">
        <v>8</v>
      </c>
      <c r="J68">
        <v>1.8599999999999998E-2</v>
      </c>
      <c r="K68">
        <v>6.532</v>
      </c>
      <c r="L68">
        <v>2.5000000000000001E-2</v>
      </c>
      <c r="M68">
        <v>0.41549999999999998</v>
      </c>
      <c r="N68" t="s">
        <v>660</v>
      </c>
      <c r="O68">
        <v>0.8</v>
      </c>
      <c r="P68" t="s">
        <v>660</v>
      </c>
      <c r="AA68">
        <v>40.714611111111097</v>
      </c>
      <c r="AB68">
        <v>-86.749472222222195</v>
      </c>
      <c r="AC68">
        <v>5</v>
      </c>
      <c r="AD68">
        <v>17</v>
      </c>
      <c r="AE68">
        <v>2023</v>
      </c>
      <c r="AF68" t="b">
        <v>0</v>
      </c>
      <c r="AG68" s="19">
        <v>45063</v>
      </c>
    </row>
    <row r="69" spans="1:33" x14ac:dyDescent="0.25">
      <c r="A69" s="25">
        <v>10068</v>
      </c>
      <c r="B69" t="s">
        <v>89</v>
      </c>
      <c r="C69" t="s">
        <v>531</v>
      </c>
      <c r="D69" s="27" t="s">
        <v>510</v>
      </c>
      <c r="E69" s="27" t="str">
        <f t="shared" ref="E69:E91" si="2">RIGHT(D69,2)</f>
        <v>?</v>
      </c>
      <c r="F69" s="27"/>
      <c r="G69" s="27"/>
      <c r="H69" t="s">
        <v>19</v>
      </c>
      <c r="I69" s="24" t="s">
        <v>507</v>
      </c>
      <c r="J69">
        <v>0.26019999999999999</v>
      </c>
      <c r="K69">
        <v>4.4909999999999997</v>
      </c>
      <c r="L69">
        <v>6.0000000000000001E-3</v>
      </c>
      <c r="N69" t="s">
        <v>660</v>
      </c>
      <c r="O69">
        <v>13.66</v>
      </c>
      <c r="P69" t="s">
        <v>660</v>
      </c>
      <c r="AA69">
        <v>40.780079999999998</v>
      </c>
      <c r="AB69">
        <v>-85.634010000000004</v>
      </c>
      <c r="AC69">
        <v>5</v>
      </c>
      <c r="AD69">
        <v>22</v>
      </c>
      <c r="AE69">
        <v>2023</v>
      </c>
      <c r="AF69" t="b">
        <v>0</v>
      </c>
      <c r="AG69" s="19">
        <v>45068</v>
      </c>
    </row>
    <row r="70" spans="1:33" x14ac:dyDescent="0.25">
      <c r="A70" s="25">
        <v>10069</v>
      </c>
      <c r="B70" t="s">
        <v>90</v>
      </c>
      <c r="C70" t="s">
        <v>531</v>
      </c>
      <c r="D70" s="27" t="s">
        <v>510</v>
      </c>
      <c r="E70" s="27" t="str">
        <f t="shared" si="2"/>
        <v>?</v>
      </c>
      <c r="F70" s="27"/>
      <c r="G70" s="27"/>
      <c r="H70" t="s">
        <v>19</v>
      </c>
      <c r="I70" s="24" t="s">
        <v>507</v>
      </c>
      <c r="J70">
        <v>1.1096999999999999</v>
      </c>
      <c r="K70">
        <v>4.1236666666666704</v>
      </c>
      <c r="L70">
        <v>0.267666666666667</v>
      </c>
      <c r="N70" t="s">
        <v>660</v>
      </c>
      <c r="O70">
        <v>12.324999999999999</v>
      </c>
      <c r="P70" t="s">
        <v>660</v>
      </c>
      <c r="AA70">
        <v>40.776009999999999</v>
      </c>
      <c r="AB70">
        <v>-85.631150000000005</v>
      </c>
      <c r="AC70">
        <v>5</v>
      </c>
      <c r="AD70">
        <v>22</v>
      </c>
      <c r="AE70">
        <v>2023</v>
      </c>
      <c r="AF70" t="b">
        <v>0</v>
      </c>
      <c r="AG70" s="19">
        <v>45068</v>
      </c>
    </row>
    <row r="71" spans="1:33" x14ac:dyDescent="0.25">
      <c r="A71" s="25">
        <v>10070</v>
      </c>
      <c r="B71" t="s">
        <v>91</v>
      </c>
      <c r="C71" t="s">
        <v>531</v>
      </c>
      <c r="D71" s="27" t="s">
        <v>510</v>
      </c>
      <c r="E71" s="27" t="str">
        <f t="shared" si="2"/>
        <v>?</v>
      </c>
      <c r="F71" s="27"/>
      <c r="G71" s="27"/>
      <c r="H71" t="s">
        <v>19</v>
      </c>
      <c r="I71" s="24" t="s">
        <v>507</v>
      </c>
      <c r="J71">
        <v>0.47549999999999998</v>
      </c>
      <c r="K71">
        <v>4.7279999999999998</v>
      </c>
      <c r="L71">
        <v>-2E-3</v>
      </c>
      <c r="N71" t="s">
        <v>660</v>
      </c>
      <c r="O71">
        <v>12.84</v>
      </c>
      <c r="P71" t="s">
        <v>660</v>
      </c>
      <c r="AA71">
        <v>40.776359999999997</v>
      </c>
      <c r="AB71">
        <v>-85.630380000000002</v>
      </c>
      <c r="AC71">
        <v>5</v>
      </c>
      <c r="AD71">
        <v>22</v>
      </c>
      <c r="AE71">
        <v>2023</v>
      </c>
      <c r="AF71" t="b">
        <v>0</v>
      </c>
      <c r="AG71" s="19">
        <v>45068</v>
      </c>
    </row>
    <row r="72" spans="1:33" x14ac:dyDescent="0.25">
      <c r="A72" s="25">
        <v>10071</v>
      </c>
      <c r="B72" t="s">
        <v>92</v>
      </c>
      <c r="C72" t="s">
        <v>531</v>
      </c>
      <c r="D72" s="27" t="s">
        <v>510</v>
      </c>
      <c r="E72" s="27" t="str">
        <f t="shared" si="2"/>
        <v>?</v>
      </c>
      <c r="F72" s="27"/>
      <c r="G72" s="27"/>
      <c r="H72" t="s">
        <v>19</v>
      </c>
      <c r="I72" s="24" t="s">
        <v>507</v>
      </c>
      <c r="J72">
        <v>0.19700000000000001</v>
      </c>
      <c r="K72">
        <v>4.694</v>
      </c>
      <c r="L72">
        <v>2.7E-2</v>
      </c>
      <c r="N72" t="s">
        <v>660</v>
      </c>
      <c r="O72">
        <v>9.9350000000000005</v>
      </c>
      <c r="P72" t="s">
        <v>660</v>
      </c>
      <c r="AA72">
        <v>40.776620000000001</v>
      </c>
      <c r="AB72">
        <v>-85.631929999999997</v>
      </c>
      <c r="AC72">
        <v>5</v>
      </c>
      <c r="AD72">
        <v>22</v>
      </c>
      <c r="AE72">
        <v>2023</v>
      </c>
      <c r="AF72" t="b">
        <v>0</v>
      </c>
      <c r="AG72" s="19">
        <v>45068</v>
      </c>
    </row>
    <row r="73" spans="1:33" x14ac:dyDescent="0.25">
      <c r="A73" s="25">
        <v>10072</v>
      </c>
      <c r="B73" t="s">
        <v>93</v>
      </c>
      <c r="C73" t="s">
        <v>531</v>
      </c>
      <c r="D73" s="27" t="s">
        <v>510</v>
      </c>
      <c r="E73" s="27" t="str">
        <f t="shared" si="2"/>
        <v>?</v>
      </c>
      <c r="F73" s="27"/>
      <c r="G73" s="27"/>
      <c r="H73" t="s">
        <v>19</v>
      </c>
      <c r="I73" s="24" t="s">
        <v>507</v>
      </c>
      <c r="J73">
        <v>0.2364</v>
      </c>
      <c r="K73">
        <v>4.2460000000000004</v>
      </c>
      <c r="L73">
        <v>1.7999999999999999E-2</v>
      </c>
      <c r="N73" t="s">
        <v>660</v>
      </c>
      <c r="O73">
        <v>9.9550000000000001</v>
      </c>
      <c r="P73" t="s">
        <v>660</v>
      </c>
      <c r="AA73">
        <v>40.776470000000003</v>
      </c>
      <c r="AB73">
        <v>-85.632549999999995</v>
      </c>
      <c r="AC73">
        <v>5</v>
      </c>
      <c r="AD73">
        <v>22</v>
      </c>
      <c r="AE73">
        <v>2023</v>
      </c>
      <c r="AF73" t="b">
        <v>0</v>
      </c>
      <c r="AG73" s="19">
        <v>45068</v>
      </c>
    </row>
    <row r="74" spans="1:33" x14ac:dyDescent="0.25">
      <c r="A74" s="25">
        <v>10073</v>
      </c>
      <c r="B74" t="s">
        <v>94</v>
      </c>
      <c r="C74" t="s">
        <v>531</v>
      </c>
      <c r="D74" s="27" t="s">
        <v>510</v>
      </c>
      <c r="E74" s="27" t="str">
        <f t="shared" si="2"/>
        <v>?</v>
      </c>
      <c r="F74" s="27"/>
      <c r="G74" s="27"/>
      <c r="H74" t="s">
        <v>19</v>
      </c>
      <c r="I74" s="24" t="s">
        <v>507</v>
      </c>
      <c r="J74">
        <v>0.2271</v>
      </c>
      <c r="K74">
        <v>4.8410000000000002</v>
      </c>
      <c r="L74">
        <v>0.24299999999999999</v>
      </c>
      <c r="N74" t="s">
        <v>660</v>
      </c>
      <c r="O74">
        <v>11.6</v>
      </c>
      <c r="P74" t="s">
        <v>660</v>
      </c>
      <c r="AA74">
        <v>40.777940000000001</v>
      </c>
      <c r="AB74">
        <v>-85.63306</v>
      </c>
      <c r="AC74">
        <v>5</v>
      </c>
      <c r="AD74">
        <v>22</v>
      </c>
      <c r="AE74">
        <v>2023</v>
      </c>
      <c r="AF74" t="b">
        <v>0</v>
      </c>
      <c r="AG74" s="19">
        <v>45068</v>
      </c>
    </row>
    <row r="75" spans="1:33" x14ac:dyDescent="0.25">
      <c r="A75" s="25">
        <v>10074</v>
      </c>
      <c r="B75" t="s">
        <v>95</v>
      </c>
      <c r="C75" t="s">
        <v>531</v>
      </c>
      <c r="D75" s="27" t="s">
        <v>510</v>
      </c>
      <c r="E75" s="27" t="str">
        <f t="shared" si="2"/>
        <v>?</v>
      </c>
      <c r="F75" s="27"/>
      <c r="G75" s="27"/>
      <c r="H75" t="s">
        <v>19</v>
      </c>
      <c r="I75" s="24" t="s">
        <v>507</v>
      </c>
      <c r="J75">
        <v>1.6473</v>
      </c>
      <c r="K75">
        <v>4.1206666666666703</v>
      </c>
      <c r="L75">
        <v>0.48266666666666602</v>
      </c>
      <c r="N75" t="s">
        <v>660</v>
      </c>
      <c r="O75">
        <v>11.815</v>
      </c>
      <c r="P75" t="s">
        <v>660</v>
      </c>
      <c r="AA75">
        <v>40.778799999999997</v>
      </c>
      <c r="AB75">
        <v>-85.634619999999998</v>
      </c>
      <c r="AC75">
        <v>5</v>
      </c>
      <c r="AD75">
        <v>22</v>
      </c>
      <c r="AE75">
        <v>2023</v>
      </c>
      <c r="AF75" t="b">
        <v>0</v>
      </c>
      <c r="AG75" s="19">
        <v>45068</v>
      </c>
    </row>
    <row r="76" spans="1:33" x14ac:dyDescent="0.25">
      <c r="A76" s="25">
        <v>10075</v>
      </c>
      <c r="B76" t="s">
        <v>96</v>
      </c>
      <c r="C76" t="s">
        <v>531</v>
      </c>
      <c r="D76" s="27" t="s">
        <v>510</v>
      </c>
      <c r="E76" s="27" t="str">
        <f t="shared" si="2"/>
        <v>?</v>
      </c>
      <c r="F76" s="27"/>
      <c r="G76" s="27"/>
      <c r="H76" t="s">
        <v>19</v>
      </c>
      <c r="I76" s="24" t="s">
        <v>507</v>
      </c>
      <c r="J76">
        <v>0.54759999999999998</v>
      </c>
      <c r="K76">
        <v>4.2670000000000003</v>
      </c>
      <c r="L76">
        <v>1.7000000000000001E-2</v>
      </c>
      <c r="N76" t="s">
        <v>660</v>
      </c>
      <c r="O76">
        <v>13.414999999999999</v>
      </c>
      <c r="P76" t="s">
        <v>660</v>
      </c>
      <c r="AA76">
        <v>40.772579999999998</v>
      </c>
      <c r="AB76">
        <v>-85.644739999999999</v>
      </c>
      <c r="AC76">
        <v>5</v>
      </c>
      <c r="AD76">
        <v>22</v>
      </c>
      <c r="AE76">
        <v>2023</v>
      </c>
      <c r="AF76" t="b">
        <v>0</v>
      </c>
      <c r="AG76" s="19">
        <v>45068</v>
      </c>
    </row>
    <row r="77" spans="1:33" x14ac:dyDescent="0.25">
      <c r="A77" s="25">
        <v>10076</v>
      </c>
      <c r="B77" t="s">
        <v>97</v>
      </c>
      <c r="C77" t="s">
        <v>531</v>
      </c>
      <c r="D77" s="27" t="s">
        <v>510</v>
      </c>
      <c r="E77" s="27" t="str">
        <f t="shared" si="2"/>
        <v>?</v>
      </c>
      <c r="F77" s="27"/>
      <c r="G77" s="27"/>
      <c r="H77" t="s">
        <v>19</v>
      </c>
      <c r="I77" s="24" t="s">
        <v>9</v>
      </c>
      <c r="J77">
        <v>0.75190000000000001</v>
      </c>
      <c r="K77">
        <v>4.8159999999999998</v>
      </c>
      <c r="L77">
        <v>6.8000000000000005E-2</v>
      </c>
      <c r="M77">
        <v>0.182</v>
      </c>
      <c r="N77" t="s">
        <v>660</v>
      </c>
      <c r="O77">
        <v>7.5549999999999997</v>
      </c>
      <c r="P77" t="s">
        <v>660</v>
      </c>
      <c r="AA77">
        <v>40.779642000000003</v>
      </c>
      <c r="AB77">
        <v>-85.636830000000003</v>
      </c>
      <c r="AC77">
        <v>5</v>
      </c>
      <c r="AD77">
        <v>22</v>
      </c>
      <c r="AE77">
        <v>2023</v>
      </c>
      <c r="AF77" t="b">
        <v>0</v>
      </c>
      <c r="AG77" s="19">
        <v>45068</v>
      </c>
    </row>
    <row r="78" spans="1:33" x14ac:dyDescent="0.25">
      <c r="A78" s="25">
        <v>10077</v>
      </c>
      <c r="B78" t="s">
        <v>98</v>
      </c>
      <c r="C78" t="s">
        <v>531</v>
      </c>
      <c r="D78" s="27" t="s">
        <v>510</v>
      </c>
      <c r="E78" s="27" t="str">
        <f t="shared" si="2"/>
        <v>?</v>
      </c>
      <c r="F78" s="27"/>
      <c r="G78" s="27"/>
      <c r="H78" t="s">
        <v>19</v>
      </c>
      <c r="I78" s="24" t="s">
        <v>9</v>
      </c>
      <c r="J78">
        <v>1.1999999999999999E-3</v>
      </c>
      <c r="K78">
        <v>6.093</v>
      </c>
      <c r="L78">
        <v>0.47499999999999998</v>
      </c>
      <c r="M78">
        <v>0.3755</v>
      </c>
      <c r="N78" t="s">
        <v>660</v>
      </c>
      <c r="O78">
        <v>13.055</v>
      </c>
      <c r="P78" t="s">
        <v>660</v>
      </c>
      <c r="AA78">
        <v>40.779795</v>
      </c>
      <c r="AB78">
        <v>-85.637938000000005</v>
      </c>
      <c r="AC78">
        <v>5</v>
      </c>
      <c r="AD78">
        <v>22</v>
      </c>
      <c r="AE78">
        <v>2023</v>
      </c>
      <c r="AF78" t="b">
        <v>0</v>
      </c>
      <c r="AG78" s="19">
        <v>45068</v>
      </c>
    </row>
    <row r="79" spans="1:33" x14ac:dyDescent="0.25">
      <c r="A79" s="25">
        <v>10078</v>
      </c>
      <c r="B79" t="s">
        <v>99</v>
      </c>
      <c r="C79" t="s">
        <v>531</v>
      </c>
      <c r="D79" s="27" t="s">
        <v>510</v>
      </c>
      <c r="E79" s="27" t="str">
        <f t="shared" si="2"/>
        <v>?</v>
      </c>
      <c r="F79" s="27"/>
      <c r="G79" s="27"/>
      <c r="H79" t="s">
        <v>19</v>
      </c>
      <c r="I79" s="24" t="s">
        <v>9</v>
      </c>
      <c r="J79">
        <v>1.49275</v>
      </c>
      <c r="K79">
        <v>5.508</v>
      </c>
      <c r="L79">
        <v>0.60550000000000004</v>
      </c>
      <c r="M79">
        <v>0.3775</v>
      </c>
      <c r="N79" t="s">
        <v>660</v>
      </c>
      <c r="O79">
        <v>6.46</v>
      </c>
      <c r="P79" t="s">
        <v>660</v>
      </c>
      <c r="AA79">
        <v>40.779929000000003</v>
      </c>
      <c r="AB79">
        <v>-85.639607999999996</v>
      </c>
      <c r="AC79">
        <v>5</v>
      </c>
      <c r="AD79">
        <v>22</v>
      </c>
      <c r="AE79">
        <v>2023</v>
      </c>
      <c r="AF79" t="b">
        <v>0</v>
      </c>
      <c r="AG79" s="19">
        <v>45068</v>
      </c>
    </row>
    <row r="80" spans="1:33" x14ac:dyDescent="0.25">
      <c r="A80" s="25">
        <v>10079</v>
      </c>
      <c r="B80" t="s">
        <v>100</v>
      </c>
      <c r="C80" t="s">
        <v>531</v>
      </c>
      <c r="D80" s="27" t="s">
        <v>510</v>
      </c>
      <c r="E80" s="27" t="str">
        <f t="shared" si="2"/>
        <v>?</v>
      </c>
      <c r="F80" s="27"/>
      <c r="G80" s="27"/>
      <c r="H80" t="s">
        <v>19</v>
      </c>
      <c r="I80" s="24" t="s">
        <v>9</v>
      </c>
      <c r="J80">
        <v>11.497299999999999</v>
      </c>
      <c r="K80">
        <v>0.09</v>
      </c>
      <c r="L80">
        <v>1.2609999999999999</v>
      </c>
      <c r="N80" t="s">
        <v>660</v>
      </c>
      <c r="O80">
        <v>137.72333333333299</v>
      </c>
      <c r="P80" t="s">
        <v>660</v>
      </c>
      <c r="AA80">
        <v>40.780073999999999</v>
      </c>
      <c r="AB80">
        <v>-85.642408000000003</v>
      </c>
      <c r="AC80">
        <v>5</v>
      </c>
      <c r="AD80">
        <v>22</v>
      </c>
      <c r="AE80">
        <v>2023</v>
      </c>
      <c r="AF80" t="b">
        <v>0</v>
      </c>
      <c r="AG80" s="19">
        <v>45068</v>
      </c>
    </row>
    <row r="81" spans="1:33" x14ac:dyDescent="0.25">
      <c r="A81" s="25">
        <v>10080</v>
      </c>
      <c r="B81" t="s">
        <v>101</v>
      </c>
      <c r="C81" t="s">
        <v>531</v>
      </c>
      <c r="D81" s="27" t="s">
        <v>510</v>
      </c>
      <c r="E81" s="27" t="str">
        <f t="shared" si="2"/>
        <v>?</v>
      </c>
      <c r="F81" s="27"/>
      <c r="G81" s="27"/>
      <c r="H81" t="s">
        <v>19</v>
      </c>
      <c r="I81" s="24" t="s">
        <v>9</v>
      </c>
      <c r="M81">
        <v>0.127</v>
      </c>
      <c r="N81" t="s">
        <v>660</v>
      </c>
      <c r="O81">
        <v>12.494999999999999</v>
      </c>
      <c r="P81" t="s">
        <v>660</v>
      </c>
      <c r="AA81">
        <v>40.78031</v>
      </c>
      <c r="AB81">
        <v>-85.644042999999996</v>
      </c>
      <c r="AC81">
        <v>5</v>
      </c>
      <c r="AD81">
        <v>22</v>
      </c>
      <c r="AE81">
        <v>2023</v>
      </c>
      <c r="AF81" t="b">
        <v>0</v>
      </c>
      <c r="AG81" s="19">
        <v>45068</v>
      </c>
    </row>
    <row r="82" spans="1:33" x14ac:dyDescent="0.25">
      <c r="A82" s="25">
        <v>10081</v>
      </c>
      <c r="B82" t="s">
        <v>102</v>
      </c>
      <c r="C82" t="s">
        <v>531</v>
      </c>
      <c r="D82" s="27" t="s">
        <v>510</v>
      </c>
      <c r="E82" s="27" t="str">
        <f t="shared" si="2"/>
        <v>?</v>
      </c>
      <c r="F82" s="27"/>
      <c r="G82" s="27"/>
      <c r="H82" t="s">
        <v>19</v>
      </c>
      <c r="I82" s="24" t="s">
        <v>9</v>
      </c>
      <c r="J82">
        <v>2.7248999999999999</v>
      </c>
      <c r="K82">
        <v>0.188</v>
      </c>
      <c r="L82">
        <v>0.23100000000000001</v>
      </c>
      <c r="M82">
        <v>0.57999999999999996</v>
      </c>
      <c r="N82">
        <v>7.1862821537216098E-2</v>
      </c>
      <c r="O82">
        <v>58.64</v>
      </c>
      <c r="P82" t="s">
        <v>660</v>
      </c>
      <c r="AA82">
        <v>40.779530000000001</v>
      </c>
      <c r="AB82">
        <v>-85.645204000000007</v>
      </c>
      <c r="AC82">
        <v>5</v>
      </c>
      <c r="AD82">
        <v>22</v>
      </c>
      <c r="AE82">
        <v>2023</v>
      </c>
      <c r="AF82" t="b">
        <v>0</v>
      </c>
      <c r="AG82" s="19">
        <v>45068</v>
      </c>
    </row>
    <row r="83" spans="1:33" x14ac:dyDescent="0.25">
      <c r="A83" s="25">
        <v>10082</v>
      </c>
      <c r="B83" t="s">
        <v>103</v>
      </c>
      <c r="C83" t="s">
        <v>531</v>
      </c>
      <c r="D83" s="27" t="s">
        <v>510</v>
      </c>
      <c r="E83" s="27" t="str">
        <f t="shared" si="2"/>
        <v>?</v>
      </c>
      <c r="F83" s="27"/>
      <c r="G83" s="27"/>
      <c r="H83" t="s">
        <v>19</v>
      </c>
      <c r="I83" s="24" t="s">
        <v>9</v>
      </c>
      <c r="J83">
        <v>0.40360000000000001</v>
      </c>
      <c r="K83">
        <v>4.9320000000000004</v>
      </c>
      <c r="L83">
        <v>4.2000000000000003E-2</v>
      </c>
      <c r="M83">
        <v>0.127</v>
      </c>
      <c r="N83" t="s">
        <v>660</v>
      </c>
      <c r="O83">
        <v>11.51</v>
      </c>
      <c r="P83" t="s">
        <v>660</v>
      </c>
      <c r="AA83">
        <v>40.778305000000003</v>
      </c>
      <c r="AB83">
        <v>-85.646731000000003</v>
      </c>
      <c r="AC83">
        <v>5</v>
      </c>
      <c r="AD83">
        <v>22</v>
      </c>
      <c r="AE83">
        <v>2023</v>
      </c>
      <c r="AF83" t="b">
        <v>0</v>
      </c>
      <c r="AG83" s="19">
        <v>45068</v>
      </c>
    </row>
    <row r="84" spans="1:33" x14ac:dyDescent="0.25">
      <c r="A84" s="25">
        <v>10083</v>
      </c>
      <c r="B84" t="s">
        <v>104</v>
      </c>
      <c r="C84" t="s">
        <v>531</v>
      </c>
      <c r="D84" s="27" t="s">
        <v>510</v>
      </c>
      <c r="E84" s="27" t="str">
        <f t="shared" si="2"/>
        <v>?</v>
      </c>
      <c r="F84" s="27"/>
      <c r="G84" s="27"/>
      <c r="H84" t="s">
        <v>19</v>
      </c>
      <c r="I84" s="24" t="s">
        <v>9</v>
      </c>
      <c r="J84">
        <v>0.4234</v>
      </c>
      <c r="K84">
        <v>3.1139999999999999</v>
      </c>
      <c r="L84">
        <v>1.4E-2</v>
      </c>
      <c r="M84">
        <v>0.115</v>
      </c>
      <c r="N84" t="s">
        <v>660</v>
      </c>
      <c r="O84">
        <v>11.07</v>
      </c>
      <c r="P84" t="s">
        <v>660</v>
      </c>
      <c r="AA84">
        <v>40.779248000000003</v>
      </c>
      <c r="AB84">
        <v>-85.645563999999993</v>
      </c>
      <c r="AC84">
        <v>5</v>
      </c>
      <c r="AD84">
        <v>22</v>
      </c>
      <c r="AE84">
        <v>2023</v>
      </c>
      <c r="AF84" t="b">
        <v>0</v>
      </c>
      <c r="AG84" s="19">
        <v>45068</v>
      </c>
    </row>
    <row r="85" spans="1:33" x14ac:dyDescent="0.25">
      <c r="A85" s="25">
        <v>10084</v>
      </c>
      <c r="B85" t="s">
        <v>105</v>
      </c>
      <c r="C85" t="s">
        <v>531</v>
      </c>
      <c r="D85" s="27" t="s">
        <v>510</v>
      </c>
      <c r="E85" s="27" t="str">
        <f t="shared" si="2"/>
        <v>?</v>
      </c>
      <c r="F85" s="27"/>
      <c r="G85" s="27"/>
      <c r="H85" t="s">
        <v>19</v>
      </c>
      <c r="I85" s="24" t="s">
        <v>9</v>
      </c>
      <c r="J85">
        <v>0.6724</v>
      </c>
      <c r="K85">
        <v>4.0439999999999996</v>
      </c>
      <c r="L85">
        <v>0.03</v>
      </c>
      <c r="M85">
        <v>0.14399999999999999</v>
      </c>
      <c r="N85" t="s">
        <v>660</v>
      </c>
      <c r="O85">
        <v>12.74</v>
      </c>
      <c r="P85" t="s">
        <v>660</v>
      </c>
      <c r="AA85">
        <v>40.779868999999998</v>
      </c>
      <c r="AB85">
        <v>-85.6447</v>
      </c>
      <c r="AC85">
        <v>5</v>
      </c>
      <c r="AD85">
        <v>22</v>
      </c>
      <c r="AE85">
        <v>2023</v>
      </c>
      <c r="AF85" t="b">
        <v>0</v>
      </c>
      <c r="AG85" s="19">
        <v>45068</v>
      </c>
    </row>
    <row r="86" spans="1:33" x14ac:dyDescent="0.25">
      <c r="A86" s="25">
        <v>10085</v>
      </c>
      <c r="B86" t="s">
        <v>106</v>
      </c>
      <c r="C86" t="s">
        <v>531</v>
      </c>
      <c r="D86" s="27" t="s">
        <v>510</v>
      </c>
      <c r="E86" s="27" t="str">
        <f t="shared" si="2"/>
        <v>?</v>
      </c>
      <c r="F86" s="27"/>
      <c r="G86" s="27"/>
      <c r="H86" t="s">
        <v>19</v>
      </c>
      <c r="I86" s="24" t="s">
        <v>9</v>
      </c>
      <c r="J86">
        <v>2.71</v>
      </c>
      <c r="K86">
        <v>0.1</v>
      </c>
      <c r="L86">
        <v>0.28499999999999998</v>
      </c>
      <c r="M86">
        <v>0.79549999999999998</v>
      </c>
      <c r="N86">
        <v>1.0314795694475199E-2</v>
      </c>
      <c r="O86">
        <v>56.215000000000003</v>
      </c>
      <c r="P86" t="s">
        <v>660</v>
      </c>
      <c r="AA86">
        <v>40.776752999999999</v>
      </c>
      <c r="AB86">
        <v>-85.646072000000004</v>
      </c>
      <c r="AC86">
        <v>5</v>
      </c>
      <c r="AD86">
        <v>22</v>
      </c>
      <c r="AE86">
        <v>2023</v>
      </c>
      <c r="AF86" t="b">
        <v>0</v>
      </c>
      <c r="AG86" s="19">
        <v>45068</v>
      </c>
    </row>
    <row r="87" spans="1:33" x14ac:dyDescent="0.25">
      <c r="A87" s="25">
        <v>10086</v>
      </c>
      <c r="B87" t="s">
        <v>107</v>
      </c>
      <c r="C87" t="s">
        <v>531</v>
      </c>
      <c r="D87" s="27" t="s">
        <v>510</v>
      </c>
      <c r="E87" s="27" t="str">
        <f t="shared" si="2"/>
        <v>?</v>
      </c>
      <c r="F87" s="27"/>
      <c r="G87" s="27"/>
      <c r="H87" t="s">
        <v>19</v>
      </c>
      <c r="I87" s="24" t="s">
        <v>9</v>
      </c>
      <c r="J87">
        <v>3.41995</v>
      </c>
      <c r="K87">
        <v>7.4999999999999997E-2</v>
      </c>
      <c r="L87">
        <v>0.67400000000000004</v>
      </c>
      <c r="M87">
        <v>0.78549999999999998</v>
      </c>
      <c r="N87" t="s">
        <v>660</v>
      </c>
      <c r="O87">
        <v>61.704999999999998</v>
      </c>
      <c r="P87" t="s">
        <v>660</v>
      </c>
      <c r="AA87">
        <v>40.771569</v>
      </c>
      <c r="AB87">
        <v>-85.640629000000004</v>
      </c>
      <c r="AC87">
        <v>5</v>
      </c>
      <c r="AD87">
        <v>22</v>
      </c>
      <c r="AE87">
        <v>2023</v>
      </c>
      <c r="AF87" t="b">
        <v>0</v>
      </c>
      <c r="AG87" s="19">
        <v>45068</v>
      </c>
    </row>
    <row r="88" spans="1:33" x14ac:dyDescent="0.25">
      <c r="A88" s="25">
        <v>10087</v>
      </c>
      <c r="B88" t="s">
        <v>108</v>
      </c>
      <c r="C88" t="s">
        <v>531</v>
      </c>
      <c r="D88" s="27" t="s">
        <v>510</v>
      </c>
      <c r="E88" s="27" t="str">
        <f t="shared" si="2"/>
        <v>?</v>
      </c>
      <c r="F88" s="27"/>
      <c r="G88" s="27"/>
      <c r="H88" t="s">
        <v>19</v>
      </c>
      <c r="I88" s="24" t="s">
        <v>9</v>
      </c>
      <c r="J88">
        <v>0.39639999999999997</v>
      </c>
      <c r="K88">
        <v>4.47</v>
      </c>
      <c r="L88">
        <v>0.184</v>
      </c>
      <c r="M88">
        <v>0.17150000000000001</v>
      </c>
      <c r="N88" t="s">
        <v>660</v>
      </c>
      <c r="O88">
        <v>16.105</v>
      </c>
      <c r="P88" t="s">
        <v>660</v>
      </c>
      <c r="AA88">
        <v>40.772606000000003</v>
      </c>
      <c r="AB88">
        <v>-85.640024999999994</v>
      </c>
      <c r="AC88">
        <v>5</v>
      </c>
      <c r="AD88">
        <v>22</v>
      </c>
      <c r="AE88">
        <v>2023</v>
      </c>
      <c r="AF88" t="b">
        <v>0</v>
      </c>
      <c r="AG88" s="19">
        <v>45068</v>
      </c>
    </row>
    <row r="89" spans="1:33" x14ac:dyDescent="0.25">
      <c r="A89" s="25">
        <v>10088</v>
      </c>
      <c r="B89" t="s">
        <v>109</v>
      </c>
      <c r="C89" t="s">
        <v>532</v>
      </c>
      <c r="D89" s="27" t="s">
        <v>510</v>
      </c>
      <c r="E89" s="27" t="str">
        <f t="shared" si="2"/>
        <v>?</v>
      </c>
      <c r="F89" s="27"/>
      <c r="G89" s="27"/>
      <c r="H89" t="s">
        <v>19</v>
      </c>
      <c r="I89" s="24" t="s">
        <v>507</v>
      </c>
      <c r="N89" t="s">
        <v>660</v>
      </c>
      <c r="O89" t="s">
        <v>660</v>
      </c>
      <c r="P89" t="s">
        <v>660</v>
      </c>
      <c r="AA89">
        <v>40.769869999999997</v>
      </c>
      <c r="AB89">
        <v>-85.647289999999998</v>
      </c>
      <c r="AC89">
        <v>5</v>
      </c>
      <c r="AD89">
        <v>22</v>
      </c>
      <c r="AE89">
        <v>2023</v>
      </c>
      <c r="AF89" t="b">
        <v>0</v>
      </c>
      <c r="AG89" s="19" t="e">
        <v>#VALUE!</v>
      </c>
    </row>
    <row r="90" spans="1:33" x14ac:dyDescent="0.25">
      <c r="A90" s="25">
        <v>10089</v>
      </c>
      <c r="B90" t="s">
        <v>109</v>
      </c>
      <c r="C90" t="s">
        <v>532</v>
      </c>
      <c r="D90" s="27" t="s">
        <v>510</v>
      </c>
      <c r="E90" s="27" t="str">
        <f t="shared" si="2"/>
        <v>?</v>
      </c>
      <c r="F90" s="27"/>
      <c r="G90" s="27"/>
      <c r="H90" t="s">
        <v>19</v>
      </c>
      <c r="I90" s="24" t="s">
        <v>507</v>
      </c>
      <c r="N90" t="s">
        <v>660</v>
      </c>
      <c r="O90" t="s">
        <v>660</v>
      </c>
      <c r="P90" t="s">
        <v>660</v>
      </c>
      <c r="AA90">
        <v>40.771740000000001</v>
      </c>
      <c r="AB90">
        <v>-85.646940000000001</v>
      </c>
      <c r="AC90">
        <v>5</v>
      </c>
      <c r="AD90">
        <v>22</v>
      </c>
      <c r="AE90">
        <v>2023</v>
      </c>
      <c r="AF90" t="b">
        <v>0</v>
      </c>
      <c r="AG90" s="19" t="e">
        <v>#VALUE!</v>
      </c>
    </row>
    <row r="91" spans="1:33" x14ac:dyDescent="0.25">
      <c r="A91" s="25">
        <v>10090</v>
      </c>
      <c r="B91" t="s">
        <v>109</v>
      </c>
      <c r="C91" t="s">
        <v>532</v>
      </c>
      <c r="D91" s="27" t="s">
        <v>510</v>
      </c>
      <c r="E91" s="27" t="str">
        <f t="shared" si="2"/>
        <v>?</v>
      </c>
      <c r="F91" s="27"/>
      <c r="G91" s="27"/>
      <c r="H91" t="s">
        <v>19</v>
      </c>
      <c r="I91" s="24" t="s">
        <v>507</v>
      </c>
      <c r="N91" t="s">
        <v>660</v>
      </c>
      <c r="O91" t="s">
        <v>660</v>
      </c>
      <c r="P91" t="s">
        <v>660</v>
      </c>
      <c r="AA91">
        <v>40.770240000000001</v>
      </c>
      <c r="AB91">
        <v>-85.645709999999994</v>
      </c>
      <c r="AC91">
        <v>5</v>
      </c>
      <c r="AD91">
        <v>22</v>
      </c>
      <c r="AE91">
        <v>2023</v>
      </c>
      <c r="AF91" t="b">
        <v>0</v>
      </c>
      <c r="AG91" s="19" t="e">
        <v>#VALUE!</v>
      </c>
    </row>
    <row r="92" spans="1:33" x14ac:dyDescent="0.25">
      <c r="A92" s="25">
        <v>10091</v>
      </c>
      <c r="B92" t="s">
        <v>110</v>
      </c>
      <c r="C92" t="s">
        <v>533</v>
      </c>
      <c r="D92" s="27">
        <v>4101</v>
      </c>
      <c r="E92" s="27">
        <v>1</v>
      </c>
      <c r="F92" s="27"/>
      <c r="G92" s="27"/>
      <c r="H92" t="s">
        <v>18</v>
      </c>
      <c r="I92" s="24" t="s">
        <v>8</v>
      </c>
      <c r="J92">
        <v>0.70120000000000005</v>
      </c>
      <c r="K92">
        <v>2.028</v>
      </c>
      <c r="L92">
        <v>0.27400000000000002</v>
      </c>
      <c r="M92">
        <v>6.4000000000000001E-2</v>
      </c>
      <c r="N92" t="s">
        <v>660</v>
      </c>
      <c r="O92">
        <v>7.96</v>
      </c>
      <c r="P92" t="s">
        <v>660</v>
      </c>
      <c r="AA92">
        <v>40.83475</v>
      </c>
      <c r="AB92">
        <v>-86.8080833333333</v>
      </c>
      <c r="AC92">
        <v>5</v>
      </c>
      <c r="AD92">
        <v>25</v>
      </c>
      <c r="AE92">
        <v>2023</v>
      </c>
      <c r="AF92" t="b">
        <v>0</v>
      </c>
      <c r="AG92" s="19">
        <v>45071</v>
      </c>
    </row>
    <row r="93" spans="1:33" x14ac:dyDescent="0.25">
      <c r="A93" s="25">
        <v>10092</v>
      </c>
      <c r="B93" t="s">
        <v>111</v>
      </c>
      <c r="C93" t="s">
        <v>534</v>
      </c>
      <c r="D93" s="27">
        <v>4102</v>
      </c>
      <c r="E93" s="27">
        <v>2</v>
      </c>
      <c r="F93" s="27"/>
      <c r="G93" s="27"/>
      <c r="H93" t="s">
        <v>18</v>
      </c>
      <c r="I93" s="24" t="s">
        <v>8</v>
      </c>
      <c r="J93">
        <v>0.1807</v>
      </c>
      <c r="K93">
        <v>1.91</v>
      </c>
      <c r="L93">
        <v>0.127</v>
      </c>
      <c r="M93">
        <v>6.8500000000000005E-2</v>
      </c>
      <c r="N93" t="s">
        <v>660</v>
      </c>
      <c r="O93">
        <v>12.91</v>
      </c>
      <c r="P93" t="s">
        <v>660</v>
      </c>
      <c r="AA93">
        <v>40.840722222222198</v>
      </c>
      <c r="AB93">
        <v>-86.805111111111103</v>
      </c>
      <c r="AC93">
        <v>5</v>
      </c>
      <c r="AD93">
        <v>25</v>
      </c>
      <c r="AE93">
        <v>2023</v>
      </c>
      <c r="AF93" t="b">
        <v>0</v>
      </c>
      <c r="AG93" s="19">
        <v>45071</v>
      </c>
    </row>
    <row r="94" spans="1:33" x14ac:dyDescent="0.25">
      <c r="A94" s="25">
        <v>10093</v>
      </c>
      <c r="B94" t="s">
        <v>112</v>
      </c>
      <c r="C94" t="s">
        <v>535</v>
      </c>
      <c r="D94" s="27">
        <v>4103</v>
      </c>
      <c r="E94" s="27">
        <v>3</v>
      </c>
      <c r="F94" s="27"/>
      <c r="G94" s="27"/>
      <c r="H94" t="s">
        <v>18</v>
      </c>
      <c r="I94" s="24" t="s">
        <v>8</v>
      </c>
      <c r="M94">
        <v>8.0500000000000002E-2</v>
      </c>
      <c r="N94" t="s">
        <v>660</v>
      </c>
      <c r="O94">
        <v>6.85</v>
      </c>
      <c r="P94" t="s">
        <v>660</v>
      </c>
      <c r="AA94">
        <v>40.8428055555556</v>
      </c>
      <c r="AB94">
        <v>-86.816888888888897</v>
      </c>
      <c r="AC94">
        <v>5</v>
      </c>
      <c r="AD94">
        <v>25</v>
      </c>
      <c r="AE94">
        <v>2023</v>
      </c>
      <c r="AF94" t="b">
        <v>0</v>
      </c>
      <c r="AG94" s="19">
        <v>45071</v>
      </c>
    </row>
    <row r="95" spans="1:33" x14ac:dyDescent="0.25">
      <c r="A95" s="25">
        <v>10094</v>
      </c>
      <c r="B95" t="s">
        <v>113</v>
      </c>
      <c r="C95" t="s">
        <v>536</v>
      </c>
      <c r="D95" s="27">
        <v>4104</v>
      </c>
      <c r="E95" s="27">
        <v>4</v>
      </c>
      <c r="F95" s="27"/>
      <c r="G95" s="27"/>
      <c r="H95" t="s">
        <v>18</v>
      </c>
      <c r="I95" s="24" t="s">
        <v>8</v>
      </c>
      <c r="J95">
        <v>0.34229999999999999</v>
      </c>
      <c r="K95">
        <v>1.986</v>
      </c>
      <c r="L95">
        <v>0.17449999999999999</v>
      </c>
      <c r="M95">
        <v>5.45E-2</v>
      </c>
      <c r="N95" t="s">
        <v>660</v>
      </c>
      <c r="O95">
        <v>11.404999999999999</v>
      </c>
      <c r="P95" t="s">
        <v>660</v>
      </c>
      <c r="AA95">
        <v>40.847638888888902</v>
      </c>
      <c r="AB95">
        <v>-86.813833333333307</v>
      </c>
      <c r="AC95">
        <v>5</v>
      </c>
      <c r="AD95">
        <v>25</v>
      </c>
      <c r="AE95">
        <v>2023</v>
      </c>
      <c r="AF95" t="b">
        <v>0</v>
      </c>
      <c r="AG95" s="19">
        <v>45071</v>
      </c>
    </row>
    <row r="96" spans="1:33" x14ac:dyDescent="0.25">
      <c r="A96" s="25">
        <v>10095</v>
      </c>
      <c r="B96" t="s">
        <v>114</v>
      </c>
      <c r="C96" t="s">
        <v>537</v>
      </c>
      <c r="D96" s="27">
        <v>4106</v>
      </c>
      <c r="E96" s="27">
        <v>6</v>
      </c>
      <c r="F96" s="27"/>
      <c r="G96" s="27"/>
      <c r="H96" t="s">
        <v>18</v>
      </c>
      <c r="I96" s="24" t="s">
        <v>8</v>
      </c>
      <c r="M96">
        <v>6.9000000000000006E-2</v>
      </c>
      <c r="N96" t="s">
        <v>660</v>
      </c>
      <c r="O96">
        <v>0.94499999999999995</v>
      </c>
      <c r="P96" t="s">
        <v>660</v>
      </c>
      <c r="AA96">
        <v>40.834944444444403</v>
      </c>
      <c r="AB96">
        <v>-86.782055555555601</v>
      </c>
      <c r="AC96">
        <v>5</v>
      </c>
      <c r="AD96">
        <v>25</v>
      </c>
      <c r="AE96">
        <v>2023</v>
      </c>
      <c r="AF96" t="b">
        <v>0</v>
      </c>
      <c r="AG96" s="19">
        <v>45071</v>
      </c>
    </row>
    <row r="97" spans="1:33" x14ac:dyDescent="0.25">
      <c r="A97" s="25">
        <v>10096</v>
      </c>
      <c r="B97" t="s">
        <v>115</v>
      </c>
      <c r="C97" t="s">
        <v>538</v>
      </c>
      <c r="D97" s="27">
        <v>4107</v>
      </c>
      <c r="E97" s="27">
        <v>7</v>
      </c>
      <c r="F97" s="27"/>
      <c r="G97" s="27"/>
      <c r="H97" t="s">
        <v>18</v>
      </c>
      <c r="I97" s="24" t="s">
        <v>8</v>
      </c>
      <c r="M97">
        <v>3.2500000000000001E-2</v>
      </c>
      <c r="N97" t="s">
        <v>660</v>
      </c>
      <c r="O97">
        <v>0.69499999999999995</v>
      </c>
      <c r="P97" t="s">
        <v>660</v>
      </c>
      <c r="AA97">
        <v>40.8471388888889</v>
      </c>
      <c r="AB97">
        <v>-86.759583333333296</v>
      </c>
      <c r="AC97">
        <v>5</v>
      </c>
      <c r="AD97">
        <v>25</v>
      </c>
      <c r="AE97">
        <v>2023</v>
      </c>
      <c r="AF97" t="b">
        <v>0</v>
      </c>
      <c r="AG97" s="19">
        <v>45071</v>
      </c>
    </row>
    <row r="98" spans="1:33" x14ac:dyDescent="0.25">
      <c r="A98" s="25">
        <v>10097</v>
      </c>
      <c r="B98" t="s">
        <v>116</v>
      </c>
      <c r="C98" t="s">
        <v>539</v>
      </c>
      <c r="D98" s="27">
        <v>4108</v>
      </c>
      <c r="E98" s="27">
        <v>8</v>
      </c>
      <c r="F98" s="27"/>
      <c r="G98" s="27"/>
      <c r="H98" t="s">
        <v>18</v>
      </c>
      <c r="I98" s="24" t="s">
        <v>8</v>
      </c>
      <c r="J98">
        <v>1.0458499999999999</v>
      </c>
      <c r="K98">
        <v>3.0815000000000001</v>
      </c>
      <c r="L98">
        <v>0.373</v>
      </c>
      <c r="M98">
        <v>4.1000000000000002E-2</v>
      </c>
      <c r="N98" t="s">
        <v>660</v>
      </c>
      <c r="O98">
        <v>1.2450000000000001</v>
      </c>
      <c r="P98" t="s">
        <v>660</v>
      </c>
      <c r="AA98">
        <v>40.810944444444402</v>
      </c>
      <c r="AB98">
        <v>-86.794555555555604</v>
      </c>
      <c r="AC98">
        <v>5</v>
      </c>
      <c r="AD98">
        <v>25</v>
      </c>
      <c r="AE98">
        <v>2023</v>
      </c>
      <c r="AF98" t="b">
        <v>0</v>
      </c>
      <c r="AG98" s="19">
        <v>45071</v>
      </c>
    </row>
    <row r="99" spans="1:33" x14ac:dyDescent="0.25">
      <c r="A99" s="25">
        <v>10098</v>
      </c>
      <c r="B99" t="s">
        <v>117</v>
      </c>
      <c r="C99" t="s">
        <v>540</v>
      </c>
      <c r="D99" s="27">
        <v>4109</v>
      </c>
      <c r="E99" s="27">
        <v>9</v>
      </c>
      <c r="F99" s="27"/>
      <c r="G99" s="27"/>
      <c r="H99" t="s">
        <v>18</v>
      </c>
      <c r="I99" s="24" t="s">
        <v>8</v>
      </c>
      <c r="M99">
        <v>4.3499999999999997E-2</v>
      </c>
      <c r="N99" t="s">
        <v>660</v>
      </c>
      <c r="O99">
        <v>6.3449999999999998</v>
      </c>
      <c r="P99" t="s">
        <v>660</v>
      </c>
      <c r="AA99">
        <v>40.8039722222222</v>
      </c>
      <c r="AB99">
        <v>-86.776277777777807</v>
      </c>
      <c r="AC99">
        <v>5</v>
      </c>
      <c r="AD99">
        <v>25</v>
      </c>
      <c r="AE99">
        <v>2023</v>
      </c>
      <c r="AF99" t="b">
        <v>0</v>
      </c>
      <c r="AG99" s="19">
        <v>45071</v>
      </c>
    </row>
    <row r="100" spans="1:33" x14ac:dyDescent="0.25">
      <c r="A100" s="25">
        <v>10099</v>
      </c>
      <c r="B100" t="s">
        <v>118</v>
      </c>
      <c r="C100" t="s">
        <v>541</v>
      </c>
      <c r="D100" s="27">
        <v>4110</v>
      </c>
      <c r="E100" s="27">
        <v>10</v>
      </c>
      <c r="F100" s="27"/>
      <c r="G100" s="27"/>
      <c r="H100" t="s">
        <v>18</v>
      </c>
      <c r="I100" s="24" t="s">
        <v>8</v>
      </c>
      <c r="M100">
        <v>9.8000000000000004E-2</v>
      </c>
      <c r="N100" t="s">
        <v>660</v>
      </c>
      <c r="O100">
        <v>8.1300000000000008</v>
      </c>
      <c r="P100" t="s">
        <v>660</v>
      </c>
      <c r="AA100">
        <v>40.7951388888889</v>
      </c>
      <c r="AB100">
        <v>-86.773527777777801</v>
      </c>
      <c r="AC100">
        <v>5</v>
      </c>
      <c r="AD100">
        <v>25</v>
      </c>
      <c r="AE100">
        <v>2023</v>
      </c>
      <c r="AF100" t="b">
        <v>0</v>
      </c>
      <c r="AG100" s="19">
        <v>45071</v>
      </c>
    </row>
    <row r="101" spans="1:33" x14ac:dyDescent="0.25">
      <c r="A101" s="25">
        <v>10100</v>
      </c>
      <c r="B101" t="s">
        <v>119</v>
      </c>
      <c r="C101" t="s">
        <v>542</v>
      </c>
      <c r="D101" s="27">
        <v>4111</v>
      </c>
      <c r="E101" s="27">
        <v>11</v>
      </c>
      <c r="F101" s="27"/>
      <c r="G101" s="27"/>
      <c r="H101" t="s">
        <v>18</v>
      </c>
      <c r="I101" s="24" t="s">
        <v>8</v>
      </c>
      <c r="J101">
        <v>0.96625000000000005</v>
      </c>
      <c r="K101">
        <v>2.9355000000000002</v>
      </c>
      <c r="L101">
        <v>0.43099999999999999</v>
      </c>
      <c r="M101">
        <v>7.85E-2</v>
      </c>
      <c r="N101" t="s">
        <v>660</v>
      </c>
      <c r="O101">
        <v>8.7449999999999992</v>
      </c>
      <c r="P101" t="s">
        <v>660</v>
      </c>
      <c r="AA101">
        <v>40.786972222222197</v>
      </c>
      <c r="AB101">
        <v>-86.771083333333294</v>
      </c>
      <c r="AC101">
        <v>5</v>
      </c>
      <c r="AD101">
        <v>25</v>
      </c>
      <c r="AE101">
        <v>2023</v>
      </c>
      <c r="AF101" t="b">
        <v>0</v>
      </c>
      <c r="AG101" s="19">
        <v>45071</v>
      </c>
    </row>
    <row r="102" spans="1:33" x14ac:dyDescent="0.25">
      <c r="A102" s="25">
        <v>10101</v>
      </c>
      <c r="B102" t="s">
        <v>120</v>
      </c>
      <c r="C102" t="s">
        <v>543</v>
      </c>
      <c r="D102" s="27">
        <v>4113</v>
      </c>
      <c r="E102" s="27">
        <v>13</v>
      </c>
      <c r="F102" s="27"/>
      <c r="G102" s="27"/>
      <c r="H102" t="s">
        <v>18</v>
      </c>
      <c r="I102" s="24" t="s">
        <v>8</v>
      </c>
      <c r="M102">
        <v>9.5000000000000001E-2</v>
      </c>
      <c r="N102" t="s">
        <v>660</v>
      </c>
      <c r="O102">
        <v>12.775</v>
      </c>
      <c r="P102" t="s">
        <v>660</v>
      </c>
      <c r="AA102">
        <v>40.840111111111099</v>
      </c>
      <c r="AB102">
        <v>-86.810888888888897</v>
      </c>
      <c r="AC102">
        <v>5</v>
      </c>
      <c r="AD102">
        <v>25</v>
      </c>
      <c r="AE102">
        <v>2023</v>
      </c>
      <c r="AF102" t="b">
        <v>0</v>
      </c>
      <c r="AG102" s="19">
        <v>45071</v>
      </c>
    </row>
    <row r="103" spans="1:33" x14ac:dyDescent="0.25">
      <c r="A103" s="25">
        <v>10102</v>
      </c>
      <c r="B103" t="s">
        <v>121</v>
      </c>
      <c r="C103" t="s">
        <v>544</v>
      </c>
      <c r="D103" s="27" t="s">
        <v>510</v>
      </c>
      <c r="E103" s="27" t="str">
        <f t="shared" ref="E103:E145" si="3">RIGHT(D103,2)</f>
        <v>?</v>
      </c>
      <c r="F103" s="27"/>
      <c r="G103" s="27"/>
      <c r="H103" t="s">
        <v>18</v>
      </c>
      <c r="I103" s="24" t="s">
        <v>9</v>
      </c>
      <c r="J103">
        <v>32.07405</v>
      </c>
      <c r="K103">
        <v>0.161</v>
      </c>
      <c r="L103">
        <v>3.7675000000000001</v>
      </c>
      <c r="M103">
        <v>12.9475</v>
      </c>
      <c r="N103" t="s">
        <v>660</v>
      </c>
      <c r="O103">
        <v>105.79</v>
      </c>
      <c r="P103" t="s">
        <v>660</v>
      </c>
      <c r="AA103">
        <v>40.834735999999999</v>
      </c>
      <c r="AB103">
        <v>-86.808921999999995</v>
      </c>
      <c r="AC103">
        <v>5</v>
      </c>
      <c r="AD103">
        <v>25</v>
      </c>
      <c r="AE103">
        <v>2023</v>
      </c>
      <c r="AF103" t="b">
        <v>0</v>
      </c>
      <c r="AG103" s="19">
        <v>45071</v>
      </c>
    </row>
    <row r="104" spans="1:33" x14ac:dyDescent="0.25">
      <c r="A104" s="25">
        <v>10103</v>
      </c>
      <c r="B104" t="s">
        <v>122</v>
      </c>
      <c r="C104" t="s">
        <v>544</v>
      </c>
      <c r="D104" s="27" t="s">
        <v>510</v>
      </c>
      <c r="E104" s="27" t="str">
        <f t="shared" si="3"/>
        <v>?</v>
      </c>
      <c r="F104" s="27"/>
      <c r="G104" s="27"/>
      <c r="H104" t="s">
        <v>18</v>
      </c>
      <c r="I104" s="24" t="s">
        <v>9</v>
      </c>
      <c r="M104">
        <v>8.3500000000000005E-2</v>
      </c>
      <c r="N104" t="s">
        <v>660</v>
      </c>
      <c r="O104">
        <v>17.73</v>
      </c>
      <c r="P104" t="s">
        <v>660</v>
      </c>
      <c r="AA104">
        <v>40.840400000000002</v>
      </c>
      <c r="AB104">
        <v>-86.31326</v>
      </c>
      <c r="AC104">
        <v>5</v>
      </c>
      <c r="AD104">
        <v>25</v>
      </c>
      <c r="AE104">
        <v>2023</v>
      </c>
      <c r="AF104" t="b">
        <v>0</v>
      </c>
      <c r="AG104" s="19">
        <v>45071</v>
      </c>
    </row>
    <row r="105" spans="1:33" x14ac:dyDescent="0.25">
      <c r="A105" s="25">
        <v>10104</v>
      </c>
      <c r="B105" t="s">
        <v>123</v>
      </c>
      <c r="C105" t="s">
        <v>544</v>
      </c>
      <c r="D105" s="27" t="s">
        <v>510</v>
      </c>
      <c r="E105" s="27" t="str">
        <f t="shared" si="3"/>
        <v>?</v>
      </c>
      <c r="F105" s="27"/>
      <c r="G105" s="27"/>
      <c r="H105" t="s">
        <v>18</v>
      </c>
      <c r="I105" s="24" t="s">
        <v>9</v>
      </c>
      <c r="J105">
        <v>4.2089499999999997</v>
      </c>
      <c r="K105">
        <v>8.7999999999999995E-2</v>
      </c>
      <c r="L105">
        <v>1.0994999999999999</v>
      </c>
      <c r="M105">
        <v>0.39500000000000002</v>
      </c>
      <c r="N105" t="s">
        <v>660</v>
      </c>
      <c r="O105">
        <v>41.335000000000001</v>
      </c>
      <c r="P105" t="s">
        <v>660</v>
      </c>
      <c r="AA105">
        <v>40.843319999999999</v>
      </c>
      <c r="AB105">
        <v>-86.817499999999995</v>
      </c>
      <c r="AC105">
        <v>5</v>
      </c>
      <c r="AD105">
        <v>25</v>
      </c>
      <c r="AE105">
        <v>2023</v>
      </c>
      <c r="AF105" t="b">
        <v>0</v>
      </c>
      <c r="AG105" s="19">
        <v>45071</v>
      </c>
    </row>
    <row r="106" spans="1:33" x14ac:dyDescent="0.25">
      <c r="A106" s="25">
        <v>10105</v>
      </c>
      <c r="B106" t="s">
        <v>124</v>
      </c>
      <c r="C106" t="s">
        <v>545</v>
      </c>
      <c r="D106" s="27" t="s">
        <v>510</v>
      </c>
      <c r="E106" s="27" t="str">
        <f t="shared" si="3"/>
        <v>?</v>
      </c>
      <c r="F106" s="27"/>
      <c r="G106" s="27"/>
      <c r="H106" t="s">
        <v>17</v>
      </c>
      <c r="I106" s="24" t="s">
        <v>9</v>
      </c>
      <c r="M106">
        <v>7.85E-2</v>
      </c>
      <c r="N106">
        <v>1.07232955647139E-2</v>
      </c>
      <c r="O106">
        <v>17.95</v>
      </c>
      <c r="P106" t="s">
        <v>660</v>
      </c>
      <c r="AA106">
        <v>40.714060000000003</v>
      </c>
      <c r="AB106">
        <v>-85.937079999999995</v>
      </c>
      <c r="AC106">
        <v>5</v>
      </c>
      <c r="AD106">
        <v>31</v>
      </c>
      <c r="AE106">
        <v>2023</v>
      </c>
      <c r="AF106" t="b">
        <v>0</v>
      </c>
      <c r="AG106" s="19">
        <v>45077</v>
      </c>
    </row>
    <row r="107" spans="1:33" x14ac:dyDescent="0.25">
      <c r="A107" s="25">
        <v>10106</v>
      </c>
      <c r="B107" t="s">
        <v>125</v>
      </c>
      <c r="C107" t="s">
        <v>545</v>
      </c>
      <c r="D107" s="27" t="s">
        <v>510</v>
      </c>
      <c r="E107" s="27" t="str">
        <f t="shared" si="3"/>
        <v>?</v>
      </c>
      <c r="F107" s="27"/>
      <c r="G107" s="27"/>
      <c r="H107" t="s">
        <v>17</v>
      </c>
      <c r="I107" s="24" t="s">
        <v>9</v>
      </c>
      <c r="M107">
        <v>0.11600000000000001</v>
      </c>
      <c r="N107">
        <v>6.5223728705696205E-2</v>
      </c>
      <c r="O107">
        <v>16.225000000000001</v>
      </c>
      <c r="P107" t="s">
        <v>660</v>
      </c>
      <c r="AA107">
        <v>40.714280000000002</v>
      </c>
      <c r="AB107">
        <v>-85.937610000000006</v>
      </c>
      <c r="AC107">
        <v>5</v>
      </c>
      <c r="AD107">
        <v>31</v>
      </c>
      <c r="AE107">
        <v>2023</v>
      </c>
      <c r="AF107" t="b">
        <v>0</v>
      </c>
      <c r="AG107" s="19">
        <v>45077</v>
      </c>
    </row>
    <row r="108" spans="1:33" x14ac:dyDescent="0.25">
      <c r="A108" s="25">
        <v>10107</v>
      </c>
      <c r="B108" t="s">
        <v>126</v>
      </c>
      <c r="C108" t="s">
        <v>545</v>
      </c>
      <c r="D108" s="27" t="s">
        <v>510</v>
      </c>
      <c r="E108" s="27" t="str">
        <f t="shared" si="3"/>
        <v>?</v>
      </c>
      <c r="F108" s="27"/>
      <c r="G108" s="27"/>
      <c r="H108" t="s">
        <v>17</v>
      </c>
      <c r="I108" s="24" t="s">
        <v>9</v>
      </c>
      <c r="M108">
        <v>6.0999999999999999E-2</v>
      </c>
      <c r="N108">
        <v>1.6282870721887499E-3</v>
      </c>
      <c r="O108">
        <v>12.36</v>
      </c>
      <c r="P108" t="s">
        <v>660</v>
      </c>
      <c r="AA108">
        <v>40.705238000000001</v>
      </c>
      <c r="AB108">
        <v>-85.953678999999994</v>
      </c>
      <c r="AC108">
        <v>5</v>
      </c>
      <c r="AD108">
        <v>31</v>
      </c>
      <c r="AE108">
        <v>2023</v>
      </c>
      <c r="AF108" t="b">
        <v>0</v>
      </c>
      <c r="AG108" s="19">
        <v>45077</v>
      </c>
    </row>
    <row r="109" spans="1:33" x14ac:dyDescent="0.25">
      <c r="A109" s="25">
        <v>10108</v>
      </c>
      <c r="B109" t="s">
        <v>127</v>
      </c>
      <c r="C109" t="s">
        <v>545</v>
      </c>
      <c r="D109" s="27" t="s">
        <v>510</v>
      </c>
      <c r="E109" s="27" t="str">
        <f t="shared" si="3"/>
        <v>?</v>
      </c>
      <c r="F109" s="27"/>
      <c r="G109" s="27"/>
      <c r="H109" t="s">
        <v>17</v>
      </c>
      <c r="I109" s="24" t="s">
        <v>9</v>
      </c>
      <c r="M109">
        <v>0.15049999999999999</v>
      </c>
      <c r="N109" t="s">
        <v>660</v>
      </c>
      <c r="O109">
        <v>28.03</v>
      </c>
      <c r="P109" t="s">
        <v>660</v>
      </c>
      <c r="AA109">
        <v>40.703919999999997</v>
      </c>
      <c r="AB109">
        <v>-85.936480000000003</v>
      </c>
      <c r="AC109">
        <v>5</v>
      </c>
      <c r="AD109">
        <v>31</v>
      </c>
      <c r="AE109">
        <v>2023</v>
      </c>
      <c r="AF109" t="b">
        <v>0</v>
      </c>
      <c r="AG109" s="19">
        <v>45077</v>
      </c>
    </row>
    <row r="110" spans="1:33" x14ac:dyDescent="0.25">
      <c r="A110" s="25">
        <v>10109</v>
      </c>
      <c r="B110" t="s">
        <v>128</v>
      </c>
      <c r="C110" t="s">
        <v>545</v>
      </c>
      <c r="D110" s="27" t="s">
        <v>510</v>
      </c>
      <c r="E110" s="27" t="str">
        <f t="shared" si="3"/>
        <v>?</v>
      </c>
      <c r="F110" s="27"/>
      <c r="G110" s="27"/>
      <c r="H110" t="s">
        <v>17</v>
      </c>
      <c r="I110" s="24" t="s">
        <v>9</v>
      </c>
      <c r="M110">
        <v>0.193</v>
      </c>
      <c r="N110" t="s">
        <v>660</v>
      </c>
      <c r="O110">
        <v>10.945</v>
      </c>
      <c r="P110" t="s">
        <v>660</v>
      </c>
      <c r="AA110">
        <v>40.702379999999998</v>
      </c>
      <c r="AB110">
        <v>-85.936080000000004</v>
      </c>
      <c r="AC110">
        <v>5</v>
      </c>
      <c r="AD110">
        <v>31</v>
      </c>
      <c r="AE110">
        <v>2023</v>
      </c>
      <c r="AF110" t="b">
        <v>0</v>
      </c>
      <c r="AG110" s="19">
        <v>45077</v>
      </c>
    </row>
    <row r="111" spans="1:33" x14ac:dyDescent="0.25">
      <c r="A111" s="25">
        <v>10110</v>
      </c>
      <c r="B111" t="s">
        <v>129</v>
      </c>
      <c r="C111" t="s">
        <v>545</v>
      </c>
      <c r="D111" s="27" t="s">
        <v>510</v>
      </c>
      <c r="E111" s="27" t="str">
        <f t="shared" si="3"/>
        <v>?</v>
      </c>
      <c r="F111" s="27"/>
      <c r="G111" s="27"/>
      <c r="H111" t="s">
        <v>17</v>
      </c>
      <c r="I111" s="24" t="s">
        <v>9</v>
      </c>
      <c r="J111">
        <v>1.2656499999999999</v>
      </c>
      <c r="K111">
        <v>4.2969999999999997</v>
      </c>
      <c r="L111">
        <v>0.44650000000000001</v>
      </c>
      <c r="M111">
        <v>0.182</v>
      </c>
      <c r="N111" t="s">
        <v>660</v>
      </c>
      <c r="O111">
        <v>18.024999999999999</v>
      </c>
      <c r="P111" t="s">
        <v>660</v>
      </c>
      <c r="AA111">
        <v>40.700699999999998</v>
      </c>
      <c r="AB111">
        <v>-85.935270000000003</v>
      </c>
      <c r="AC111">
        <v>5</v>
      </c>
      <c r="AD111">
        <v>31</v>
      </c>
      <c r="AE111">
        <v>2023</v>
      </c>
      <c r="AF111" t="b">
        <v>0</v>
      </c>
      <c r="AG111" s="19">
        <v>45077</v>
      </c>
    </row>
    <row r="112" spans="1:33" x14ac:dyDescent="0.25">
      <c r="A112" s="25">
        <v>10111</v>
      </c>
      <c r="B112" t="s">
        <v>130</v>
      </c>
      <c r="C112" t="s">
        <v>545</v>
      </c>
      <c r="D112" s="27" t="s">
        <v>510</v>
      </c>
      <c r="E112" s="27" t="str">
        <f t="shared" si="3"/>
        <v>?</v>
      </c>
      <c r="F112" s="27"/>
      <c r="G112" s="27"/>
      <c r="H112" t="s">
        <v>17</v>
      </c>
      <c r="I112" s="24" t="s">
        <v>9</v>
      </c>
      <c r="J112">
        <v>1.01905</v>
      </c>
      <c r="K112">
        <v>4.6455000000000002</v>
      </c>
      <c r="L112">
        <v>0.40500000000000003</v>
      </c>
      <c r="M112">
        <v>9.7000000000000003E-2</v>
      </c>
      <c r="N112" t="s">
        <v>660</v>
      </c>
      <c r="O112">
        <v>45.52</v>
      </c>
      <c r="P112" t="s">
        <v>660</v>
      </c>
      <c r="AA112">
        <v>40.680329999999998</v>
      </c>
      <c r="AB112">
        <v>-85.895390000000006</v>
      </c>
      <c r="AC112">
        <v>5</v>
      </c>
      <c r="AD112">
        <v>31</v>
      </c>
      <c r="AE112">
        <v>2023</v>
      </c>
      <c r="AF112" t="b">
        <v>0</v>
      </c>
      <c r="AG112" s="19">
        <v>45077</v>
      </c>
    </row>
    <row r="113" spans="1:33" x14ac:dyDescent="0.25">
      <c r="A113" s="25">
        <v>10112</v>
      </c>
      <c r="B113" t="s">
        <v>131</v>
      </c>
      <c r="C113" t="s">
        <v>545</v>
      </c>
      <c r="D113" s="27" t="s">
        <v>510</v>
      </c>
      <c r="E113" s="27" t="str">
        <f t="shared" si="3"/>
        <v>?</v>
      </c>
      <c r="F113" s="27"/>
      <c r="G113" s="27"/>
      <c r="H113" t="s">
        <v>17</v>
      </c>
      <c r="I113" s="24" t="s">
        <v>9</v>
      </c>
      <c r="J113">
        <v>1.58325</v>
      </c>
      <c r="K113">
        <v>2.9550000000000001</v>
      </c>
      <c r="L113">
        <v>0.52200000000000002</v>
      </c>
      <c r="M113">
        <v>0.17649999999999999</v>
      </c>
      <c r="N113">
        <v>3.4368241732352298E-2</v>
      </c>
      <c r="O113">
        <v>43.74</v>
      </c>
      <c r="P113" t="s">
        <v>660</v>
      </c>
      <c r="AA113">
        <v>40.667999999999999</v>
      </c>
      <c r="AB113">
        <v>-85.848759999999999</v>
      </c>
      <c r="AC113">
        <v>5</v>
      </c>
      <c r="AD113">
        <v>31</v>
      </c>
      <c r="AE113">
        <v>2023</v>
      </c>
      <c r="AF113" t="b">
        <v>0</v>
      </c>
      <c r="AG113" s="19">
        <v>45077</v>
      </c>
    </row>
    <row r="114" spans="1:33" x14ac:dyDescent="0.25">
      <c r="A114" s="25">
        <v>10113</v>
      </c>
      <c r="B114" t="s">
        <v>109</v>
      </c>
      <c r="C114" t="s">
        <v>546</v>
      </c>
      <c r="D114" s="27" t="s">
        <v>510</v>
      </c>
      <c r="E114" s="27" t="str">
        <f t="shared" si="3"/>
        <v>?</v>
      </c>
      <c r="F114" s="27"/>
      <c r="G114" s="27"/>
      <c r="H114" t="s">
        <v>17</v>
      </c>
      <c r="I114" s="24" t="s">
        <v>9</v>
      </c>
      <c r="N114" t="s">
        <v>660</v>
      </c>
      <c r="O114" t="s">
        <v>660</v>
      </c>
      <c r="P114" t="s">
        <v>660</v>
      </c>
      <c r="AA114">
        <v>40.680329999999998</v>
      </c>
      <c r="AB114">
        <v>-85.895390000000006</v>
      </c>
      <c r="AC114">
        <v>5</v>
      </c>
      <c r="AD114">
        <v>31</v>
      </c>
      <c r="AE114">
        <v>2023</v>
      </c>
      <c r="AF114" t="b">
        <v>0</v>
      </c>
      <c r="AG114" s="19" t="e">
        <v>#VALUE!</v>
      </c>
    </row>
    <row r="115" spans="1:33" x14ac:dyDescent="0.25">
      <c r="A115" s="25">
        <v>10114</v>
      </c>
      <c r="B115" t="s">
        <v>132</v>
      </c>
      <c r="C115" t="s">
        <v>547</v>
      </c>
      <c r="D115" s="27" t="s">
        <v>510</v>
      </c>
      <c r="E115" s="27" t="str">
        <f t="shared" si="3"/>
        <v>?</v>
      </c>
      <c r="F115" s="27"/>
      <c r="G115" s="27"/>
      <c r="H115" t="s">
        <v>19</v>
      </c>
      <c r="I115" s="24" t="s">
        <v>9</v>
      </c>
      <c r="J115">
        <v>1.3992500000000001</v>
      </c>
      <c r="K115">
        <v>4.4545000000000003</v>
      </c>
      <c r="L115">
        <v>0.32050000000000001</v>
      </c>
      <c r="M115">
        <v>9.1499999999999998E-2</v>
      </c>
      <c r="N115" t="s">
        <v>660</v>
      </c>
      <c r="O115">
        <v>1.94</v>
      </c>
      <c r="P115" t="s">
        <v>660</v>
      </c>
      <c r="AA115">
        <v>40.803359999999998</v>
      </c>
      <c r="AB115">
        <v>-85.665150999999994</v>
      </c>
      <c r="AC115">
        <v>6</v>
      </c>
      <c r="AD115">
        <v>8</v>
      </c>
      <c r="AE115">
        <v>2023</v>
      </c>
      <c r="AF115" t="b">
        <v>0</v>
      </c>
      <c r="AG115" s="19">
        <v>45085</v>
      </c>
    </row>
    <row r="116" spans="1:33" x14ac:dyDescent="0.25">
      <c r="A116" s="25">
        <v>10115</v>
      </c>
      <c r="B116" t="s">
        <v>133</v>
      </c>
      <c r="C116" t="s">
        <v>547</v>
      </c>
      <c r="D116" s="27" t="s">
        <v>510</v>
      </c>
      <c r="E116" s="27" t="str">
        <f t="shared" si="3"/>
        <v>?</v>
      </c>
      <c r="F116" s="27"/>
      <c r="G116" s="27"/>
      <c r="H116" t="s">
        <v>19</v>
      </c>
      <c r="I116" s="24" t="s">
        <v>9</v>
      </c>
      <c r="J116">
        <v>7.8799999999999995E-2</v>
      </c>
      <c r="K116">
        <v>3.984</v>
      </c>
      <c r="L116">
        <v>0.111</v>
      </c>
      <c r="M116">
        <v>8.6999999999999994E-2</v>
      </c>
      <c r="N116" t="s">
        <v>660</v>
      </c>
      <c r="O116">
        <v>5.2450000000000001</v>
      </c>
      <c r="P116" t="s">
        <v>660</v>
      </c>
      <c r="AA116">
        <v>40.791944999999998</v>
      </c>
      <c r="AB116">
        <v>-85.667055000000005</v>
      </c>
      <c r="AC116">
        <v>6</v>
      </c>
      <c r="AD116">
        <v>8</v>
      </c>
      <c r="AE116">
        <v>2023</v>
      </c>
      <c r="AF116" t="b">
        <v>0</v>
      </c>
      <c r="AG116" s="19">
        <v>45085</v>
      </c>
    </row>
    <row r="117" spans="1:33" x14ac:dyDescent="0.25">
      <c r="A117" s="25">
        <v>10116</v>
      </c>
      <c r="B117" t="s">
        <v>134</v>
      </c>
      <c r="C117" t="s">
        <v>547</v>
      </c>
      <c r="D117" s="27" t="s">
        <v>510</v>
      </c>
      <c r="E117" s="27" t="str">
        <f t="shared" si="3"/>
        <v>?</v>
      </c>
      <c r="F117" s="27"/>
      <c r="G117" s="27"/>
      <c r="H117" t="s">
        <v>19</v>
      </c>
      <c r="I117" s="24" t="s">
        <v>9</v>
      </c>
      <c r="J117">
        <v>4.7399999999999998E-2</v>
      </c>
      <c r="K117">
        <v>4.2510000000000003</v>
      </c>
      <c r="L117">
        <v>0.26600000000000001</v>
      </c>
      <c r="M117">
        <v>0.1105</v>
      </c>
      <c r="N117" t="s">
        <v>660</v>
      </c>
      <c r="O117">
        <v>8.8000000000000007</v>
      </c>
      <c r="P117" t="s">
        <v>660</v>
      </c>
      <c r="AA117">
        <v>40.772627</v>
      </c>
      <c r="AB117">
        <v>-85.639786000000001</v>
      </c>
      <c r="AC117">
        <v>6</v>
      </c>
      <c r="AD117">
        <v>8</v>
      </c>
      <c r="AE117">
        <v>2023</v>
      </c>
      <c r="AF117" t="b">
        <v>0</v>
      </c>
      <c r="AG117" s="19">
        <v>45085</v>
      </c>
    </row>
    <row r="118" spans="1:33" x14ac:dyDescent="0.25">
      <c r="A118" s="25">
        <v>10117</v>
      </c>
      <c r="B118" t="s">
        <v>135</v>
      </c>
      <c r="C118" t="s">
        <v>547</v>
      </c>
      <c r="D118" s="27" t="s">
        <v>510</v>
      </c>
      <c r="E118" s="27" t="str">
        <f t="shared" si="3"/>
        <v>?</v>
      </c>
      <c r="F118" s="27"/>
      <c r="G118" s="27"/>
      <c r="H118" t="s">
        <v>19</v>
      </c>
      <c r="I118" s="24" t="s">
        <v>9</v>
      </c>
      <c r="J118">
        <v>0.23005</v>
      </c>
      <c r="K118">
        <v>4.1885000000000003</v>
      </c>
      <c r="L118">
        <v>8.1000000000000003E-2</v>
      </c>
      <c r="M118">
        <v>0.1085</v>
      </c>
      <c r="N118" t="s">
        <v>660</v>
      </c>
      <c r="O118">
        <v>5.915</v>
      </c>
      <c r="P118" t="s">
        <v>660</v>
      </c>
      <c r="AA118">
        <v>40.776755000000001</v>
      </c>
      <c r="AB118">
        <v>-85.646033000000003</v>
      </c>
      <c r="AC118">
        <v>6</v>
      </c>
      <c r="AD118">
        <v>8</v>
      </c>
      <c r="AE118">
        <v>2023</v>
      </c>
      <c r="AF118" t="b">
        <v>0</v>
      </c>
      <c r="AG118" s="19">
        <v>45085</v>
      </c>
    </row>
    <row r="119" spans="1:33" x14ac:dyDescent="0.25">
      <c r="A119" s="25">
        <v>10118</v>
      </c>
      <c r="B119" t="s">
        <v>136</v>
      </c>
      <c r="C119" t="s">
        <v>547</v>
      </c>
      <c r="D119" s="27" t="s">
        <v>510</v>
      </c>
      <c r="E119" s="27" t="str">
        <f t="shared" si="3"/>
        <v>?</v>
      </c>
      <c r="F119" s="27"/>
      <c r="G119" s="27"/>
      <c r="H119" t="s">
        <v>19</v>
      </c>
      <c r="I119" s="24" t="s">
        <v>9</v>
      </c>
      <c r="J119">
        <v>5.4300000000000001E-2</v>
      </c>
      <c r="K119">
        <v>4.3099999999999996</v>
      </c>
      <c r="L119">
        <v>0.125</v>
      </c>
      <c r="M119">
        <v>8.6499999999999994E-2</v>
      </c>
      <c r="N119" t="s">
        <v>660</v>
      </c>
      <c r="O119">
        <v>10.16</v>
      </c>
      <c r="P119" t="s">
        <v>660</v>
      </c>
      <c r="AA119">
        <v>40.779870000000003</v>
      </c>
      <c r="AB119">
        <v>-85.644681000000006</v>
      </c>
      <c r="AC119">
        <v>6</v>
      </c>
      <c r="AD119">
        <v>8</v>
      </c>
      <c r="AE119">
        <v>2023</v>
      </c>
      <c r="AF119" t="b">
        <v>0</v>
      </c>
      <c r="AG119" s="19">
        <v>45085</v>
      </c>
    </row>
    <row r="120" spans="1:33" x14ac:dyDescent="0.25">
      <c r="A120" s="25">
        <v>10119</v>
      </c>
      <c r="B120" t="s">
        <v>137</v>
      </c>
      <c r="C120" t="s">
        <v>547</v>
      </c>
      <c r="D120" s="27" t="s">
        <v>510</v>
      </c>
      <c r="E120" s="27" t="str">
        <f t="shared" si="3"/>
        <v>?</v>
      </c>
      <c r="F120" s="27"/>
      <c r="G120" s="27"/>
      <c r="H120" t="s">
        <v>19</v>
      </c>
      <c r="I120" s="24" t="s">
        <v>9</v>
      </c>
      <c r="J120">
        <v>4.58E-2</v>
      </c>
      <c r="K120">
        <v>4.4569999999999999</v>
      </c>
      <c r="L120">
        <v>0.115</v>
      </c>
      <c r="M120">
        <v>7.85E-2</v>
      </c>
      <c r="N120" t="s">
        <v>660</v>
      </c>
      <c r="O120">
        <v>7.9249999999999998</v>
      </c>
      <c r="P120" t="s">
        <v>660</v>
      </c>
      <c r="AA120">
        <v>40.779496000000002</v>
      </c>
      <c r="AB120">
        <v>-85.636241999999996</v>
      </c>
      <c r="AC120">
        <v>6</v>
      </c>
      <c r="AD120">
        <v>8</v>
      </c>
      <c r="AE120">
        <v>2023</v>
      </c>
      <c r="AF120" t="b">
        <v>0</v>
      </c>
      <c r="AG120" s="19">
        <v>45085</v>
      </c>
    </row>
    <row r="121" spans="1:33" x14ac:dyDescent="0.25">
      <c r="A121" s="25">
        <v>10120</v>
      </c>
      <c r="B121" t="s">
        <v>138</v>
      </c>
      <c r="C121" t="s">
        <v>547</v>
      </c>
      <c r="D121" s="27" t="s">
        <v>510</v>
      </c>
      <c r="E121" s="27" t="str">
        <f t="shared" si="3"/>
        <v>?</v>
      </c>
      <c r="F121" s="27"/>
      <c r="G121" s="27"/>
      <c r="H121" t="s">
        <v>19</v>
      </c>
      <c r="I121" s="24" t="s">
        <v>9</v>
      </c>
      <c r="J121">
        <v>1.0083</v>
      </c>
      <c r="K121">
        <v>4.4279999999999999</v>
      </c>
      <c r="L121">
        <v>0.221</v>
      </c>
      <c r="M121">
        <v>9.35E-2</v>
      </c>
      <c r="N121" t="s">
        <v>660</v>
      </c>
      <c r="O121">
        <v>6.335</v>
      </c>
      <c r="P121" t="s">
        <v>660</v>
      </c>
      <c r="AA121">
        <v>40.772309</v>
      </c>
      <c r="AB121">
        <v>-85.605089000000007</v>
      </c>
      <c r="AC121">
        <v>6</v>
      </c>
      <c r="AD121">
        <v>8</v>
      </c>
      <c r="AE121">
        <v>2023</v>
      </c>
      <c r="AF121" t="b">
        <v>0</v>
      </c>
      <c r="AG121" s="19">
        <v>45085</v>
      </c>
    </row>
    <row r="122" spans="1:33" x14ac:dyDescent="0.25">
      <c r="A122" s="25">
        <v>10121</v>
      </c>
      <c r="B122" t="s">
        <v>139</v>
      </c>
      <c r="C122" t="s">
        <v>547</v>
      </c>
      <c r="D122" s="27" t="s">
        <v>510</v>
      </c>
      <c r="E122" s="27" t="str">
        <f t="shared" si="3"/>
        <v>?</v>
      </c>
      <c r="F122" s="27"/>
      <c r="G122" s="27"/>
      <c r="H122" t="s">
        <v>19</v>
      </c>
      <c r="I122" s="24" t="s">
        <v>9</v>
      </c>
      <c r="J122">
        <v>1.0095499999999999</v>
      </c>
      <c r="K122">
        <v>2.8774999999999999</v>
      </c>
      <c r="L122">
        <v>0.2445</v>
      </c>
      <c r="M122">
        <v>7.5499999999999998E-2</v>
      </c>
      <c r="N122" t="s">
        <v>660</v>
      </c>
      <c r="O122">
        <v>11.055</v>
      </c>
      <c r="P122" t="s">
        <v>660</v>
      </c>
      <c r="AA122">
        <v>40.751244</v>
      </c>
      <c r="AB122">
        <v>-85.581817999999998</v>
      </c>
      <c r="AC122">
        <v>6</v>
      </c>
      <c r="AD122">
        <v>8</v>
      </c>
      <c r="AE122">
        <v>2023</v>
      </c>
      <c r="AF122" t="b">
        <v>0</v>
      </c>
      <c r="AG122" s="19">
        <v>45085</v>
      </c>
    </row>
    <row r="123" spans="1:33" x14ac:dyDescent="0.25">
      <c r="A123" s="25">
        <v>10122</v>
      </c>
      <c r="B123" t="s">
        <v>109</v>
      </c>
      <c r="C123" t="s">
        <v>532</v>
      </c>
      <c r="D123" s="27" t="s">
        <v>510</v>
      </c>
      <c r="E123" s="27" t="str">
        <f t="shared" si="3"/>
        <v>?</v>
      </c>
      <c r="F123" s="27"/>
      <c r="G123" s="27"/>
      <c r="H123" t="s">
        <v>19</v>
      </c>
      <c r="I123" s="24" t="s">
        <v>9</v>
      </c>
      <c r="N123" t="s">
        <v>660</v>
      </c>
      <c r="O123" t="s">
        <v>660</v>
      </c>
      <c r="P123" t="s">
        <v>660</v>
      </c>
      <c r="AA123">
        <v>40.803417000000003</v>
      </c>
      <c r="AB123">
        <v>-86.664721999999998</v>
      </c>
      <c r="AC123">
        <v>6</v>
      </c>
      <c r="AD123">
        <v>8</v>
      </c>
      <c r="AE123">
        <v>2023</v>
      </c>
      <c r="AF123" t="b">
        <v>0</v>
      </c>
      <c r="AG123" s="19" t="e">
        <v>#VALUE!</v>
      </c>
    </row>
    <row r="124" spans="1:33" x14ac:dyDescent="0.25">
      <c r="A124" s="25">
        <v>10123</v>
      </c>
      <c r="B124" t="s">
        <v>140</v>
      </c>
      <c r="C124" t="s">
        <v>548</v>
      </c>
      <c r="D124" s="27" t="s">
        <v>510</v>
      </c>
      <c r="E124" s="27" t="str">
        <f t="shared" si="3"/>
        <v>?</v>
      </c>
      <c r="F124" s="27"/>
      <c r="G124" s="27"/>
      <c r="H124" t="s">
        <v>508</v>
      </c>
      <c r="I124" s="24" t="s">
        <v>9</v>
      </c>
      <c r="J124">
        <v>4.5699999999999998E-2</v>
      </c>
      <c r="K124">
        <v>1.2829999999999999</v>
      </c>
      <c r="L124">
        <v>-3.0000000000000001E-3</v>
      </c>
      <c r="M124">
        <v>6.225E-2</v>
      </c>
      <c r="N124" t="s">
        <v>660</v>
      </c>
      <c r="O124">
        <v>7.48</v>
      </c>
      <c r="P124" t="s">
        <v>660</v>
      </c>
      <c r="AA124">
        <v>40.693679000000003</v>
      </c>
      <c r="AB124">
        <v>-86.766957000000005</v>
      </c>
      <c r="AC124">
        <v>6</v>
      </c>
      <c r="AD124">
        <v>9</v>
      </c>
      <c r="AE124">
        <v>2023</v>
      </c>
      <c r="AF124" t="b">
        <v>0</v>
      </c>
      <c r="AG124" s="19">
        <v>45086</v>
      </c>
    </row>
    <row r="125" spans="1:33" x14ac:dyDescent="0.25">
      <c r="A125" s="25">
        <v>10124</v>
      </c>
      <c r="B125" t="s">
        <v>141</v>
      </c>
      <c r="C125" t="s">
        <v>548</v>
      </c>
      <c r="D125" s="27" t="s">
        <v>510</v>
      </c>
      <c r="E125" s="27" t="str">
        <f t="shared" si="3"/>
        <v>?</v>
      </c>
      <c r="F125" s="27"/>
      <c r="G125" s="27"/>
      <c r="H125" t="s">
        <v>508</v>
      </c>
      <c r="I125" s="24" t="s">
        <v>9</v>
      </c>
      <c r="J125">
        <v>0.1394</v>
      </c>
      <c r="K125">
        <v>1.8640000000000001</v>
      </c>
      <c r="L125">
        <v>-4.0000000000000001E-3</v>
      </c>
      <c r="M125">
        <v>0.10525</v>
      </c>
      <c r="N125" t="s">
        <v>660</v>
      </c>
      <c r="O125">
        <v>4.2</v>
      </c>
      <c r="P125" t="s">
        <v>660</v>
      </c>
      <c r="AA125">
        <v>40.665942999999999</v>
      </c>
      <c r="AB125">
        <v>-86.752898999999999</v>
      </c>
      <c r="AC125">
        <v>6</v>
      </c>
      <c r="AD125">
        <v>9</v>
      </c>
      <c r="AE125">
        <v>2023</v>
      </c>
      <c r="AF125" t="b">
        <v>0</v>
      </c>
      <c r="AG125" s="19">
        <v>45086</v>
      </c>
    </row>
    <row r="126" spans="1:33" x14ac:dyDescent="0.25">
      <c r="A126" s="25">
        <v>10125</v>
      </c>
      <c r="B126" t="s">
        <v>142</v>
      </c>
      <c r="C126" t="s">
        <v>548</v>
      </c>
      <c r="D126" s="27" t="s">
        <v>510</v>
      </c>
      <c r="E126" s="27" t="str">
        <f t="shared" si="3"/>
        <v>?</v>
      </c>
      <c r="F126" s="27"/>
      <c r="G126" s="27"/>
      <c r="H126" t="s">
        <v>508</v>
      </c>
      <c r="I126" s="24" t="s">
        <v>9</v>
      </c>
      <c r="J126">
        <v>0.17979999999999999</v>
      </c>
      <c r="K126">
        <v>1.7070000000000001</v>
      </c>
      <c r="L126">
        <v>1E-3</v>
      </c>
      <c r="M126">
        <v>5.9499999999999997E-2</v>
      </c>
      <c r="N126" t="s">
        <v>660</v>
      </c>
      <c r="O126">
        <v>3.585</v>
      </c>
      <c r="P126" t="s">
        <v>660</v>
      </c>
      <c r="AA126">
        <v>40.680971</v>
      </c>
      <c r="AB126">
        <v>-86.752351000000004</v>
      </c>
      <c r="AC126">
        <v>6</v>
      </c>
      <c r="AD126">
        <v>9</v>
      </c>
      <c r="AE126">
        <v>2023</v>
      </c>
      <c r="AF126" t="b">
        <v>0</v>
      </c>
      <c r="AG126" s="19">
        <v>45086</v>
      </c>
    </row>
    <row r="127" spans="1:33" x14ac:dyDescent="0.25">
      <c r="A127" s="25">
        <v>10126</v>
      </c>
      <c r="B127" t="s">
        <v>143</v>
      </c>
      <c r="C127" t="s">
        <v>548</v>
      </c>
      <c r="D127" s="27" t="s">
        <v>510</v>
      </c>
      <c r="E127" s="27" t="str">
        <f t="shared" si="3"/>
        <v>?</v>
      </c>
      <c r="F127" s="27"/>
      <c r="G127" s="27"/>
      <c r="H127" t="s">
        <v>508</v>
      </c>
      <c r="I127" s="24" t="s">
        <v>9</v>
      </c>
      <c r="J127">
        <v>9.9149999999999905E-2</v>
      </c>
      <c r="K127">
        <v>1.2809999999999999</v>
      </c>
      <c r="L127">
        <v>0.13300000000000001</v>
      </c>
      <c r="M127">
        <v>7.5749999999999998E-2</v>
      </c>
      <c r="N127" t="s">
        <v>660</v>
      </c>
      <c r="O127">
        <v>7.87</v>
      </c>
      <c r="P127" t="s">
        <v>660</v>
      </c>
      <c r="AA127">
        <v>40.730862999999999</v>
      </c>
      <c r="AB127">
        <v>-86.757981000000001</v>
      </c>
      <c r="AC127">
        <v>6</v>
      </c>
      <c r="AD127">
        <v>9</v>
      </c>
      <c r="AE127">
        <v>2023</v>
      </c>
      <c r="AF127" t="b">
        <v>0</v>
      </c>
      <c r="AG127" s="19">
        <v>45086</v>
      </c>
    </row>
    <row r="128" spans="1:33" x14ac:dyDescent="0.25">
      <c r="A128" s="25">
        <v>10127</v>
      </c>
      <c r="B128" t="s">
        <v>144</v>
      </c>
      <c r="C128" t="s">
        <v>548</v>
      </c>
      <c r="D128" s="27" t="s">
        <v>510</v>
      </c>
      <c r="E128" s="27" t="str">
        <f t="shared" si="3"/>
        <v>?</v>
      </c>
      <c r="F128" s="27"/>
      <c r="G128" s="27"/>
      <c r="H128" t="s">
        <v>508</v>
      </c>
      <c r="I128" s="24" t="s">
        <v>9</v>
      </c>
      <c r="J128">
        <v>9.3100000000000002E-2</v>
      </c>
      <c r="K128">
        <v>1.2889999999999999</v>
      </c>
      <c r="L128">
        <v>-3.0000000000000001E-3</v>
      </c>
      <c r="M128">
        <v>5.3499999999999999E-2</v>
      </c>
      <c r="N128" t="s">
        <v>660</v>
      </c>
      <c r="O128">
        <v>4.5949999999999998</v>
      </c>
      <c r="P128" t="s">
        <v>660</v>
      </c>
      <c r="AA128">
        <v>40.745583000000003</v>
      </c>
      <c r="AB128">
        <v>-86.757176999999999</v>
      </c>
      <c r="AC128">
        <v>6</v>
      </c>
      <c r="AD128">
        <v>9</v>
      </c>
      <c r="AE128">
        <v>2023</v>
      </c>
      <c r="AF128" t="b">
        <v>0</v>
      </c>
      <c r="AG128" s="19">
        <v>45086</v>
      </c>
    </row>
    <row r="129" spans="1:33" x14ac:dyDescent="0.25">
      <c r="A129" s="25">
        <v>10128</v>
      </c>
      <c r="B129" t="s">
        <v>145</v>
      </c>
      <c r="C129" t="s">
        <v>548</v>
      </c>
      <c r="D129" s="27" t="s">
        <v>510</v>
      </c>
      <c r="E129" s="27" t="str">
        <f t="shared" si="3"/>
        <v>?</v>
      </c>
      <c r="F129" s="27"/>
      <c r="G129" s="27"/>
      <c r="H129" t="s">
        <v>508</v>
      </c>
      <c r="I129" s="24" t="s">
        <v>506</v>
      </c>
      <c r="J129">
        <v>1.2999999999999999E-2</v>
      </c>
      <c r="K129">
        <v>1.4119999999999999</v>
      </c>
      <c r="L129">
        <v>-2E-3</v>
      </c>
      <c r="M129">
        <v>6.3E-2</v>
      </c>
      <c r="N129" t="s">
        <v>660</v>
      </c>
      <c r="O129">
        <v>9.08</v>
      </c>
      <c r="P129" t="s">
        <v>660</v>
      </c>
      <c r="AA129">
        <v>40.731816999999999</v>
      </c>
      <c r="AB129">
        <v>-86.755086000000006</v>
      </c>
      <c r="AC129">
        <v>6</v>
      </c>
      <c r="AD129">
        <v>9</v>
      </c>
      <c r="AE129">
        <v>2023</v>
      </c>
      <c r="AF129" t="b">
        <v>0</v>
      </c>
      <c r="AG129" s="19">
        <v>45086</v>
      </c>
    </row>
    <row r="130" spans="1:33" x14ac:dyDescent="0.25">
      <c r="A130" s="25">
        <v>10129</v>
      </c>
      <c r="B130" t="s">
        <v>146</v>
      </c>
      <c r="C130" t="s">
        <v>549</v>
      </c>
      <c r="D130" s="27" t="s">
        <v>510</v>
      </c>
      <c r="E130" s="27" t="str">
        <f t="shared" si="3"/>
        <v>?</v>
      </c>
      <c r="F130" s="27"/>
      <c r="G130" s="27"/>
      <c r="H130" t="s">
        <v>17</v>
      </c>
      <c r="I130" s="24" t="s">
        <v>9</v>
      </c>
      <c r="N130">
        <v>7.7938801783066003</v>
      </c>
      <c r="O130">
        <v>130.465</v>
      </c>
      <c r="P130" t="s">
        <v>660</v>
      </c>
      <c r="AA130">
        <v>40.714060000000003</v>
      </c>
      <c r="AB130">
        <v>-85.937079999999995</v>
      </c>
      <c r="AC130">
        <v>6</v>
      </c>
      <c r="AD130">
        <v>15</v>
      </c>
      <c r="AE130">
        <v>2023</v>
      </c>
      <c r="AF130" t="b">
        <v>0</v>
      </c>
      <c r="AG130" s="19">
        <v>45092</v>
      </c>
    </row>
    <row r="131" spans="1:33" x14ac:dyDescent="0.25">
      <c r="A131" s="25">
        <v>10130</v>
      </c>
      <c r="B131" t="s">
        <v>147</v>
      </c>
      <c r="C131" t="s">
        <v>549</v>
      </c>
      <c r="D131" s="27" t="s">
        <v>510</v>
      </c>
      <c r="E131" s="27" t="str">
        <f t="shared" si="3"/>
        <v>?</v>
      </c>
      <c r="F131" s="27"/>
      <c r="G131" s="27"/>
      <c r="H131" t="s">
        <v>17</v>
      </c>
      <c r="I131" s="24" t="s">
        <v>9</v>
      </c>
      <c r="N131" t="s">
        <v>660</v>
      </c>
      <c r="O131">
        <v>25.26</v>
      </c>
      <c r="P131" t="s">
        <v>660</v>
      </c>
      <c r="AA131">
        <v>40.714280000000002</v>
      </c>
      <c r="AB131">
        <v>-85.937610000000006</v>
      </c>
      <c r="AC131">
        <v>6</v>
      </c>
      <c r="AD131">
        <v>15</v>
      </c>
      <c r="AE131">
        <v>2023</v>
      </c>
      <c r="AF131" t="b">
        <v>0</v>
      </c>
      <c r="AG131" s="19">
        <v>45092</v>
      </c>
    </row>
    <row r="132" spans="1:33" x14ac:dyDescent="0.25">
      <c r="A132" s="25">
        <v>10131</v>
      </c>
      <c r="B132" t="s">
        <v>148</v>
      </c>
      <c r="C132" t="s">
        <v>549</v>
      </c>
      <c r="D132" s="27" t="s">
        <v>510</v>
      </c>
      <c r="E132" s="27" t="str">
        <f t="shared" si="3"/>
        <v>?</v>
      </c>
      <c r="F132" s="27"/>
      <c r="G132" s="27"/>
      <c r="H132" t="s">
        <v>17</v>
      </c>
      <c r="I132" s="24" t="s">
        <v>9</v>
      </c>
      <c r="J132">
        <v>0.26290000000000002</v>
      </c>
      <c r="K132">
        <v>4.4749999999999996</v>
      </c>
      <c r="L132">
        <v>-6.0000000000000001E-3</v>
      </c>
      <c r="N132">
        <v>0.22453229633048599</v>
      </c>
      <c r="O132">
        <v>16.105</v>
      </c>
      <c r="P132" t="s">
        <v>660</v>
      </c>
      <c r="AA132">
        <v>40.705269299999998</v>
      </c>
      <c r="AB132">
        <v>-85.953777700000003</v>
      </c>
      <c r="AC132">
        <v>6</v>
      </c>
      <c r="AD132">
        <v>15</v>
      </c>
      <c r="AE132">
        <v>2023</v>
      </c>
      <c r="AF132" t="b">
        <v>0</v>
      </c>
      <c r="AG132" s="19">
        <v>45092</v>
      </c>
    </row>
    <row r="133" spans="1:33" x14ac:dyDescent="0.25">
      <c r="A133" s="25">
        <v>10132</v>
      </c>
      <c r="B133" t="s">
        <v>149</v>
      </c>
      <c r="C133" t="s">
        <v>549</v>
      </c>
      <c r="D133" s="27" t="s">
        <v>510</v>
      </c>
      <c r="E133" s="27" t="str">
        <f t="shared" si="3"/>
        <v>?</v>
      </c>
      <c r="F133" s="27"/>
      <c r="G133" s="27"/>
      <c r="H133" t="s">
        <v>17</v>
      </c>
      <c r="I133" s="24" t="s">
        <v>9</v>
      </c>
      <c r="J133">
        <v>0.34370000000000001</v>
      </c>
      <c r="K133">
        <v>4.0279999999999996</v>
      </c>
      <c r="L133">
        <v>-1.2E-2</v>
      </c>
      <c r="N133">
        <v>0.195805238460455</v>
      </c>
      <c r="O133">
        <v>63.484999999999999</v>
      </c>
      <c r="P133" t="s">
        <v>660</v>
      </c>
      <c r="AA133">
        <v>40.703340900000001</v>
      </c>
      <c r="AB133">
        <v>-85.936390299999999</v>
      </c>
      <c r="AC133">
        <v>6</v>
      </c>
      <c r="AD133">
        <v>15</v>
      </c>
      <c r="AE133">
        <v>2023</v>
      </c>
      <c r="AF133" t="b">
        <v>0</v>
      </c>
      <c r="AG133" s="19">
        <v>45092</v>
      </c>
    </row>
    <row r="134" spans="1:33" x14ac:dyDescent="0.25">
      <c r="A134" s="25">
        <v>10133</v>
      </c>
      <c r="B134" t="s">
        <v>150</v>
      </c>
      <c r="C134" t="s">
        <v>549</v>
      </c>
      <c r="D134" s="27" t="s">
        <v>510</v>
      </c>
      <c r="E134" s="27" t="str">
        <f t="shared" si="3"/>
        <v>?</v>
      </c>
      <c r="F134" s="27"/>
      <c r="G134" s="27"/>
      <c r="H134" t="s">
        <v>17</v>
      </c>
      <c r="I134" s="24" t="s">
        <v>9</v>
      </c>
      <c r="J134">
        <v>0.65510000000000002</v>
      </c>
      <c r="K134">
        <v>4.258</v>
      </c>
      <c r="L134">
        <v>3.4000000000000002E-2</v>
      </c>
      <c r="N134">
        <v>0.125498500754892</v>
      </c>
      <c r="O134">
        <v>27.184999999999999</v>
      </c>
      <c r="P134" t="s">
        <v>660</v>
      </c>
      <c r="AA134">
        <v>40.702086299999998</v>
      </c>
      <c r="AB134">
        <v>-85.935530999999997</v>
      </c>
      <c r="AC134">
        <v>6</v>
      </c>
      <c r="AD134">
        <v>15</v>
      </c>
      <c r="AE134">
        <v>2023</v>
      </c>
      <c r="AF134" t="b">
        <v>0</v>
      </c>
      <c r="AG134" s="19">
        <v>45092</v>
      </c>
    </row>
    <row r="135" spans="1:33" x14ac:dyDescent="0.25">
      <c r="A135" s="25">
        <v>10134</v>
      </c>
      <c r="B135" t="s">
        <v>151</v>
      </c>
      <c r="C135" t="s">
        <v>549</v>
      </c>
      <c r="D135" s="27" t="s">
        <v>510</v>
      </c>
      <c r="E135" s="27" t="str">
        <f t="shared" si="3"/>
        <v>?</v>
      </c>
      <c r="F135" s="27"/>
      <c r="G135" s="27"/>
      <c r="H135" t="s">
        <v>17</v>
      </c>
      <c r="I135" s="24" t="s">
        <v>9</v>
      </c>
      <c r="J135">
        <v>2.1141000000000001</v>
      </c>
      <c r="K135">
        <v>4.5010000000000003</v>
      </c>
      <c r="L135">
        <v>0.60099999999999998</v>
      </c>
      <c r="N135">
        <v>2.3844229874553001E-2</v>
      </c>
      <c r="O135">
        <v>41.545000000000002</v>
      </c>
      <c r="P135" t="s">
        <v>660</v>
      </c>
      <c r="AA135">
        <v>40.7008279</v>
      </c>
      <c r="AB135">
        <v>-85.935082100000002</v>
      </c>
      <c r="AC135">
        <v>6</v>
      </c>
      <c r="AD135">
        <v>15</v>
      </c>
      <c r="AE135">
        <v>2023</v>
      </c>
      <c r="AF135" t="b">
        <v>0</v>
      </c>
      <c r="AG135" s="19">
        <v>45092</v>
      </c>
    </row>
    <row r="136" spans="1:33" x14ac:dyDescent="0.25">
      <c r="A136" s="25">
        <v>10135</v>
      </c>
      <c r="B136" t="s">
        <v>152</v>
      </c>
      <c r="C136" t="s">
        <v>549</v>
      </c>
      <c r="D136" s="27" t="s">
        <v>510</v>
      </c>
      <c r="E136" s="27" t="str">
        <f t="shared" si="3"/>
        <v>?</v>
      </c>
      <c r="F136" s="27"/>
      <c r="G136" s="27"/>
      <c r="H136" t="s">
        <v>17</v>
      </c>
      <c r="I136" s="24" t="s">
        <v>9</v>
      </c>
      <c r="J136">
        <v>1.9275</v>
      </c>
      <c r="K136">
        <v>3.7370000000000001</v>
      </c>
      <c r="L136">
        <v>0.378</v>
      </c>
      <c r="N136">
        <v>0.80290049934521102</v>
      </c>
      <c r="O136">
        <v>54.49</v>
      </c>
      <c r="P136" t="s">
        <v>660</v>
      </c>
      <c r="AA136">
        <v>40.680354800000003</v>
      </c>
      <c r="AB136">
        <v>-85.895247600000005</v>
      </c>
      <c r="AC136">
        <v>6</v>
      </c>
      <c r="AD136">
        <v>15</v>
      </c>
      <c r="AE136">
        <v>2023</v>
      </c>
      <c r="AF136" t="b">
        <v>0</v>
      </c>
      <c r="AG136" s="19">
        <v>45092</v>
      </c>
    </row>
    <row r="137" spans="1:33" x14ac:dyDescent="0.25">
      <c r="A137" s="25">
        <v>10136</v>
      </c>
      <c r="B137" t="s">
        <v>153</v>
      </c>
      <c r="C137" t="s">
        <v>549</v>
      </c>
      <c r="D137" s="27" t="s">
        <v>510</v>
      </c>
      <c r="E137" s="27" t="str">
        <f t="shared" si="3"/>
        <v>?</v>
      </c>
      <c r="F137" s="27"/>
      <c r="G137" s="27"/>
      <c r="H137" t="s">
        <v>17</v>
      </c>
      <c r="I137" s="24" t="s">
        <v>9</v>
      </c>
      <c r="J137">
        <v>0.74160000000000004</v>
      </c>
      <c r="K137">
        <v>3.3969999999999998</v>
      </c>
      <c r="L137">
        <v>2.3E-2</v>
      </c>
      <c r="N137">
        <v>1.6448844402960201</v>
      </c>
      <c r="O137">
        <v>76.64</v>
      </c>
      <c r="P137" t="s">
        <v>660</v>
      </c>
      <c r="AA137">
        <v>40.6684999</v>
      </c>
      <c r="AB137">
        <v>-85.848809799999998</v>
      </c>
      <c r="AC137">
        <v>6</v>
      </c>
      <c r="AD137">
        <v>15</v>
      </c>
      <c r="AE137">
        <v>2023</v>
      </c>
      <c r="AF137" t="b">
        <v>0</v>
      </c>
      <c r="AG137" s="19">
        <v>45092</v>
      </c>
    </row>
    <row r="138" spans="1:33" s="23" customFormat="1" x14ac:dyDescent="0.25">
      <c r="A138" s="35">
        <v>10137</v>
      </c>
      <c r="B138" s="36" t="s">
        <v>154</v>
      </c>
      <c r="C138" s="36" t="s">
        <v>550</v>
      </c>
      <c r="D138" s="37" t="s">
        <v>510</v>
      </c>
      <c r="E138" s="37" t="str">
        <f t="shared" si="3"/>
        <v>?</v>
      </c>
      <c r="F138" s="37"/>
      <c r="G138" s="37"/>
      <c r="H138" s="36" t="s">
        <v>18</v>
      </c>
      <c r="I138" s="38" t="s">
        <v>9</v>
      </c>
      <c r="J138" s="36"/>
      <c r="K138" s="36"/>
      <c r="L138" s="36"/>
      <c r="M138" s="36">
        <v>4.4999999999999998E-2</v>
      </c>
      <c r="N138" t="s">
        <v>660</v>
      </c>
      <c r="O138" s="36">
        <v>20.175000000000001</v>
      </c>
      <c r="P138" t="s">
        <v>660</v>
      </c>
      <c r="Q138"/>
      <c r="R138"/>
      <c r="S138"/>
      <c r="T138"/>
      <c r="U138"/>
      <c r="V138"/>
      <c r="W138"/>
      <c r="X138"/>
      <c r="Y138"/>
      <c r="Z138"/>
      <c r="AA138" s="36">
        <v>40.808777777777799</v>
      </c>
      <c r="AB138" s="36">
        <v>-86.794638888888898</v>
      </c>
      <c r="AC138" s="36">
        <v>6</v>
      </c>
      <c r="AD138" s="36">
        <v>20</v>
      </c>
      <c r="AE138" s="36">
        <v>2023</v>
      </c>
      <c r="AF138" s="36" t="b">
        <v>0</v>
      </c>
      <c r="AG138" s="39">
        <v>45097</v>
      </c>
    </row>
    <row r="139" spans="1:33" s="23" customFormat="1" x14ac:dyDescent="0.25">
      <c r="A139" s="35">
        <v>10138</v>
      </c>
      <c r="B139" s="36" t="s">
        <v>155</v>
      </c>
      <c r="C139" s="36" t="s">
        <v>550</v>
      </c>
      <c r="D139" s="37" t="s">
        <v>510</v>
      </c>
      <c r="E139" s="37" t="str">
        <f t="shared" si="3"/>
        <v>?</v>
      </c>
      <c r="F139" s="37"/>
      <c r="G139" s="37"/>
      <c r="H139" s="36" t="s">
        <v>18</v>
      </c>
      <c r="I139" s="38" t="s">
        <v>9</v>
      </c>
      <c r="J139" s="36">
        <v>6.2399999999999997E-2</v>
      </c>
      <c r="K139" s="36">
        <v>1.1040000000000001</v>
      </c>
      <c r="L139" s="36">
        <v>0.26</v>
      </c>
      <c r="M139" s="36">
        <v>0.10675</v>
      </c>
      <c r="N139" t="s">
        <v>660</v>
      </c>
      <c r="O139" s="36">
        <v>16.43</v>
      </c>
      <c r="P139" t="s">
        <v>660</v>
      </c>
      <c r="Q139"/>
      <c r="R139"/>
      <c r="S139"/>
      <c r="T139"/>
      <c r="U139"/>
      <c r="V139"/>
      <c r="W139"/>
      <c r="X139"/>
      <c r="Y139"/>
      <c r="Z139"/>
      <c r="AA139" s="36">
        <v>40.823833333333297</v>
      </c>
      <c r="AB139" s="36">
        <v>-86.794555555555505</v>
      </c>
      <c r="AC139" s="36">
        <v>6</v>
      </c>
      <c r="AD139" s="36">
        <v>20</v>
      </c>
      <c r="AE139" s="36">
        <v>2023</v>
      </c>
      <c r="AF139" s="36" t="b">
        <v>0</v>
      </c>
      <c r="AG139" s="39">
        <v>45097</v>
      </c>
    </row>
    <row r="140" spans="1:33" s="23" customFormat="1" x14ac:dyDescent="0.25">
      <c r="A140" s="35">
        <v>10139</v>
      </c>
      <c r="B140" s="36" t="s">
        <v>156</v>
      </c>
      <c r="C140" s="36" t="s">
        <v>550</v>
      </c>
      <c r="D140" s="37" t="s">
        <v>510</v>
      </c>
      <c r="E140" s="37" t="str">
        <f t="shared" si="3"/>
        <v>?</v>
      </c>
      <c r="F140" s="37"/>
      <c r="G140" s="37"/>
      <c r="H140" s="36" t="s">
        <v>18</v>
      </c>
      <c r="I140" s="38" t="s">
        <v>9</v>
      </c>
      <c r="J140" s="36">
        <v>2.5399999999999999E-2</v>
      </c>
      <c r="K140" s="36">
        <v>5.8999999999999997E-2</v>
      </c>
      <c r="L140" s="36">
        <v>0.23300000000000001</v>
      </c>
      <c r="M140" s="36">
        <v>0.188</v>
      </c>
      <c r="N140" t="s">
        <v>660</v>
      </c>
      <c r="O140" s="36">
        <v>28.98</v>
      </c>
      <c r="P140" t="s">
        <v>660</v>
      </c>
      <c r="Q140"/>
      <c r="R140"/>
      <c r="S140"/>
      <c r="T140"/>
      <c r="U140"/>
      <c r="V140"/>
      <c r="W140"/>
      <c r="X140"/>
      <c r="Y140"/>
      <c r="Z140"/>
      <c r="AA140" s="36">
        <v>40.843361111111101</v>
      </c>
      <c r="AB140" s="36">
        <v>-86.817444444444405</v>
      </c>
      <c r="AC140" s="36">
        <v>6</v>
      </c>
      <c r="AD140" s="36">
        <v>20</v>
      </c>
      <c r="AE140" s="36">
        <v>2023</v>
      </c>
      <c r="AF140" s="36" t="b">
        <v>0</v>
      </c>
      <c r="AG140" s="39">
        <v>45097</v>
      </c>
    </row>
    <row r="141" spans="1:33" s="41" customFormat="1" x14ac:dyDescent="0.25">
      <c r="A141" s="40">
        <v>10140</v>
      </c>
      <c r="B141" s="41" t="s">
        <v>157</v>
      </c>
      <c r="C141" s="41" t="s">
        <v>551</v>
      </c>
      <c r="D141" s="42" t="s">
        <v>510</v>
      </c>
      <c r="E141" s="42" t="str">
        <f t="shared" si="3"/>
        <v>?</v>
      </c>
      <c r="F141" s="42"/>
      <c r="G141" s="42"/>
      <c r="H141" s="41" t="s">
        <v>508</v>
      </c>
      <c r="I141" s="43" t="s">
        <v>9</v>
      </c>
      <c r="M141" s="41">
        <v>1.8499999999999999E-2</v>
      </c>
      <c r="N141" t="s">
        <v>660</v>
      </c>
      <c r="O141" s="41">
        <v>12.63</v>
      </c>
      <c r="P141" t="s">
        <v>660</v>
      </c>
      <c r="Q141"/>
      <c r="R141"/>
      <c r="S141"/>
      <c r="T141"/>
      <c r="U141"/>
      <c r="V141"/>
      <c r="W141"/>
      <c r="X141"/>
      <c r="Y141"/>
      <c r="Z141"/>
      <c r="AA141" s="41">
        <v>40.693662000000003</v>
      </c>
      <c r="AB141" s="41">
        <v>-86.766958000000002</v>
      </c>
      <c r="AC141" s="41">
        <v>6</v>
      </c>
      <c r="AD141" s="41">
        <v>20</v>
      </c>
      <c r="AE141" s="41">
        <v>2023</v>
      </c>
      <c r="AF141" s="41" t="b">
        <v>0</v>
      </c>
      <c r="AG141" s="44">
        <v>45097</v>
      </c>
    </row>
    <row r="142" spans="1:33" s="41" customFormat="1" x14ac:dyDescent="0.25">
      <c r="A142" s="40">
        <v>10141</v>
      </c>
      <c r="B142" s="41" t="s">
        <v>158</v>
      </c>
      <c r="C142" s="41" t="s">
        <v>551</v>
      </c>
      <c r="D142" s="42" t="s">
        <v>510</v>
      </c>
      <c r="E142" s="42" t="str">
        <f t="shared" si="3"/>
        <v>?</v>
      </c>
      <c r="F142" s="42"/>
      <c r="G142" s="42"/>
      <c r="H142" s="41" t="s">
        <v>508</v>
      </c>
      <c r="I142" s="43" t="s">
        <v>9</v>
      </c>
      <c r="J142" s="41">
        <v>4.4499999999999998E-2</v>
      </c>
      <c r="K142" s="41">
        <v>0.82599999999999996</v>
      </c>
      <c r="L142" s="41">
        <v>0.156</v>
      </c>
      <c r="M142" s="41">
        <v>5.5500000000000001E-2</v>
      </c>
      <c r="N142" t="s">
        <v>660</v>
      </c>
      <c r="O142" s="41">
        <v>46.86</v>
      </c>
      <c r="P142" t="s">
        <v>660</v>
      </c>
      <c r="Q142"/>
      <c r="R142"/>
      <c r="S142"/>
      <c r="T142"/>
      <c r="U142"/>
      <c r="V142"/>
      <c r="W142"/>
      <c r="X142"/>
      <c r="Y142"/>
      <c r="Z142"/>
      <c r="AA142" s="41">
        <v>40.6671388888889</v>
      </c>
      <c r="AB142" s="41">
        <v>-86.753027777777802</v>
      </c>
      <c r="AC142" s="41">
        <v>6</v>
      </c>
      <c r="AD142" s="41">
        <v>20</v>
      </c>
      <c r="AE142" s="41">
        <v>2023</v>
      </c>
      <c r="AF142" s="41" t="b">
        <v>0</v>
      </c>
      <c r="AG142" s="44">
        <v>45097</v>
      </c>
    </row>
    <row r="143" spans="1:33" s="41" customFormat="1" x14ac:dyDescent="0.25">
      <c r="A143" s="40">
        <v>10142</v>
      </c>
      <c r="B143" s="41" t="s">
        <v>159</v>
      </c>
      <c r="C143" s="41" t="s">
        <v>551</v>
      </c>
      <c r="D143" s="42" t="s">
        <v>510</v>
      </c>
      <c r="E143" s="42" t="str">
        <f t="shared" si="3"/>
        <v>?</v>
      </c>
      <c r="F143" s="42"/>
      <c r="G143" s="42"/>
      <c r="H143" s="41" t="s">
        <v>508</v>
      </c>
      <c r="I143" s="43" t="s">
        <v>9</v>
      </c>
      <c r="J143" s="41">
        <v>7.4800000000000005E-2</v>
      </c>
      <c r="K143" s="41">
        <v>0.81599999999999995</v>
      </c>
      <c r="L143" s="41">
        <v>0.38</v>
      </c>
      <c r="M143" s="41">
        <v>3.15E-2</v>
      </c>
      <c r="N143" t="s">
        <v>660</v>
      </c>
      <c r="O143" s="41">
        <v>20.56</v>
      </c>
      <c r="P143" t="s">
        <v>660</v>
      </c>
      <c r="Q143"/>
      <c r="R143"/>
      <c r="S143"/>
      <c r="T143"/>
      <c r="U143"/>
      <c r="V143"/>
      <c r="W143"/>
      <c r="X143"/>
      <c r="Y143"/>
      <c r="Z143"/>
      <c r="AA143" s="41">
        <v>40.680833333333297</v>
      </c>
      <c r="AB143" s="41">
        <v>-86.752138888888894</v>
      </c>
      <c r="AC143" s="41">
        <v>6</v>
      </c>
      <c r="AD143" s="41">
        <v>20</v>
      </c>
      <c r="AE143" s="41">
        <v>2023</v>
      </c>
      <c r="AF143" s="41" t="b">
        <v>0</v>
      </c>
      <c r="AG143" s="44">
        <v>45097</v>
      </c>
    </row>
    <row r="144" spans="1:33" s="41" customFormat="1" x14ac:dyDescent="0.25">
      <c r="A144" s="40">
        <v>10143</v>
      </c>
      <c r="B144" s="41" t="s">
        <v>160</v>
      </c>
      <c r="C144" s="41" t="s">
        <v>551</v>
      </c>
      <c r="D144" s="42" t="s">
        <v>510</v>
      </c>
      <c r="E144" s="42" t="str">
        <f t="shared" si="3"/>
        <v>?</v>
      </c>
      <c r="F144" s="42"/>
      <c r="G144" s="42"/>
      <c r="H144" s="41" t="s">
        <v>508</v>
      </c>
      <c r="I144" s="43" t="s">
        <v>9</v>
      </c>
      <c r="J144" s="41">
        <v>9.7999999999999997E-3</v>
      </c>
      <c r="K144" s="41">
        <v>0.879</v>
      </c>
      <c r="L144" s="41">
        <v>9.2999999999999999E-2</v>
      </c>
      <c r="M144" s="41">
        <v>1.2500000000000001E-2</v>
      </c>
      <c r="N144" t="s">
        <v>660</v>
      </c>
      <c r="O144" s="41">
        <v>29.54</v>
      </c>
      <c r="P144" t="s">
        <v>660</v>
      </c>
      <c r="Q144"/>
      <c r="R144"/>
      <c r="S144"/>
      <c r="T144"/>
      <c r="U144"/>
      <c r="V144"/>
      <c r="W144"/>
      <c r="X144"/>
      <c r="Y144"/>
      <c r="Z144"/>
      <c r="AA144" s="41">
        <v>40.730861111111103</v>
      </c>
      <c r="AB144" s="41">
        <v>-86.757972222222193</v>
      </c>
      <c r="AC144" s="41">
        <v>6</v>
      </c>
      <c r="AD144" s="41">
        <v>20</v>
      </c>
      <c r="AE144" s="41">
        <v>2023</v>
      </c>
      <c r="AF144" s="41" t="b">
        <v>0</v>
      </c>
      <c r="AG144" s="44">
        <v>45097</v>
      </c>
    </row>
    <row r="145" spans="1:33" s="41" customFormat="1" x14ac:dyDescent="0.25">
      <c r="A145" s="40">
        <v>10144</v>
      </c>
      <c r="B145" s="41" t="s">
        <v>161</v>
      </c>
      <c r="C145" s="41" t="s">
        <v>551</v>
      </c>
      <c r="D145" s="42" t="s">
        <v>510</v>
      </c>
      <c r="E145" s="42" t="str">
        <f t="shared" si="3"/>
        <v>?</v>
      </c>
      <c r="F145" s="42"/>
      <c r="G145" s="42"/>
      <c r="H145" s="41" t="s">
        <v>508</v>
      </c>
      <c r="I145" s="43" t="s">
        <v>9</v>
      </c>
      <c r="J145" s="41">
        <v>1.5E-3</v>
      </c>
      <c r="K145" s="41">
        <v>1.1579999999999999</v>
      </c>
      <c r="L145" s="41">
        <v>9.1999999999999998E-2</v>
      </c>
      <c r="M145" s="41">
        <v>1.4E-2</v>
      </c>
      <c r="N145" t="s">
        <v>660</v>
      </c>
      <c r="O145" s="41">
        <v>14.545</v>
      </c>
      <c r="P145" t="s">
        <v>660</v>
      </c>
      <c r="Q145"/>
      <c r="R145"/>
      <c r="S145"/>
      <c r="T145"/>
      <c r="U145"/>
      <c r="V145"/>
      <c r="W145"/>
      <c r="X145"/>
      <c r="Y145"/>
      <c r="Z145"/>
      <c r="AA145" s="41">
        <v>40.7455</v>
      </c>
      <c r="AB145" s="41">
        <v>-86.757249999999999</v>
      </c>
      <c r="AC145" s="41">
        <v>6</v>
      </c>
      <c r="AD145" s="41">
        <v>20</v>
      </c>
      <c r="AE145" s="41">
        <v>2023</v>
      </c>
      <c r="AF145" s="41" t="b">
        <v>0</v>
      </c>
      <c r="AG145" s="44">
        <v>45097</v>
      </c>
    </row>
    <row r="146" spans="1:33" x14ac:dyDescent="0.25">
      <c r="A146" s="25">
        <v>10145</v>
      </c>
      <c r="B146" t="s">
        <v>162</v>
      </c>
      <c r="C146" t="s">
        <v>162</v>
      </c>
      <c r="D146" s="27">
        <v>3101</v>
      </c>
      <c r="E146" s="27">
        <v>1</v>
      </c>
      <c r="F146" s="27"/>
      <c r="G146" s="27"/>
      <c r="H146" t="s">
        <v>19</v>
      </c>
      <c r="I146" s="24" t="s">
        <v>8</v>
      </c>
      <c r="M146">
        <v>4.8000000000000001E-2</v>
      </c>
      <c r="N146">
        <v>4.0377375654836803E-2</v>
      </c>
      <c r="O146">
        <v>18.145</v>
      </c>
      <c r="P146" t="s">
        <v>660</v>
      </c>
      <c r="AA146">
        <v>40.772191999999997</v>
      </c>
      <c r="AB146">
        <v>-85.644442999999995</v>
      </c>
      <c r="AC146">
        <v>6</v>
      </c>
      <c r="AD146">
        <v>23</v>
      </c>
      <c r="AE146">
        <v>2023</v>
      </c>
      <c r="AF146" t="b">
        <v>0</v>
      </c>
      <c r="AG146" s="19">
        <v>45100</v>
      </c>
    </row>
    <row r="147" spans="1:33" x14ac:dyDescent="0.25">
      <c r="A147" s="25">
        <v>10146</v>
      </c>
      <c r="B147" t="s">
        <v>163</v>
      </c>
      <c r="C147" t="s">
        <v>163</v>
      </c>
      <c r="D147" s="27">
        <v>3102</v>
      </c>
      <c r="E147" s="27">
        <v>2</v>
      </c>
      <c r="F147" s="27"/>
      <c r="G147" s="27"/>
      <c r="H147" t="s">
        <v>19</v>
      </c>
      <c r="I147" s="24" t="s">
        <v>8</v>
      </c>
      <c r="M147">
        <v>5.8500000000000003E-2</v>
      </c>
      <c r="N147" t="s">
        <v>660</v>
      </c>
      <c r="O147">
        <v>20.48</v>
      </c>
      <c r="P147" t="s">
        <v>660</v>
      </c>
      <c r="AA147">
        <v>40.771816999999999</v>
      </c>
      <c r="AB147">
        <v>-85.647735999999995</v>
      </c>
      <c r="AC147">
        <v>6</v>
      </c>
      <c r="AD147">
        <v>23</v>
      </c>
      <c r="AE147">
        <v>2023</v>
      </c>
      <c r="AF147" t="b">
        <v>0</v>
      </c>
      <c r="AG147" s="19">
        <v>45100</v>
      </c>
    </row>
    <row r="148" spans="1:33" x14ac:dyDescent="0.25">
      <c r="A148" s="25">
        <v>10147</v>
      </c>
      <c r="B148" t="s">
        <v>164</v>
      </c>
      <c r="C148" t="s">
        <v>164</v>
      </c>
      <c r="D148" s="27">
        <v>3103</v>
      </c>
      <c r="E148" s="27">
        <v>3</v>
      </c>
      <c r="F148" s="27"/>
      <c r="G148" s="27"/>
      <c r="H148" t="s">
        <v>19</v>
      </c>
      <c r="I148" s="24" t="s">
        <v>8</v>
      </c>
      <c r="M148">
        <v>5.5500000000000001E-2</v>
      </c>
      <c r="N148" t="s">
        <v>660</v>
      </c>
      <c r="O148">
        <v>12.875</v>
      </c>
      <c r="P148" t="s">
        <v>660</v>
      </c>
      <c r="AA148">
        <v>40.780942000000003</v>
      </c>
      <c r="AB148">
        <v>-85.643994000000006</v>
      </c>
      <c r="AC148">
        <v>6</v>
      </c>
      <c r="AD148">
        <v>23</v>
      </c>
      <c r="AE148">
        <v>2023</v>
      </c>
      <c r="AF148" t="b">
        <v>0</v>
      </c>
      <c r="AG148" s="19">
        <v>45100</v>
      </c>
    </row>
    <row r="149" spans="1:33" x14ac:dyDescent="0.25">
      <c r="A149" s="25">
        <v>10148</v>
      </c>
      <c r="B149" t="s">
        <v>165</v>
      </c>
      <c r="C149" t="s">
        <v>165</v>
      </c>
      <c r="D149" s="27">
        <v>3104</v>
      </c>
      <c r="E149" s="27">
        <v>4</v>
      </c>
      <c r="F149" s="27"/>
      <c r="G149" s="27"/>
      <c r="H149" t="s">
        <v>19</v>
      </c>
      <c r="I149" s="24" t="s">
        <v>8</v>
      </c>
      <c r="M149">
        <v>4.3499999999999997E-2</v>
      </c>
      <c r="N149">
        <v>6.5223728705696205E-2</v>
      </c>
      <c r="O149">
        <v>16.059999999999999</v>
      </c>
      <c r="P149" t="s">
        <v>660</v>
      </c>
      <c r="AA149">
        <v>40.784331000000002</v>
      </c>
      <c r="AB149">
        <v>-85.637880999999993</v>
      </c>
      <c r="AC149">
        <v>6</v>
      </c>
      <c r="AD149">
        <v>23</v>
      </c>
      <c r="AE149">
        <v>2023</v>
      </c>
      <c r="AF149" t="b">
        <v>0</v>
      </c>
      <c r="AG149" s="19">
        <v>45100</v>
      </c>
    </row>
    <row r="150" spans="1:33" x14ac:dyDescent="0.25">
      <c r="A150" s="25">
        <v>10149</v>
      </c>
      <c r="B150" s="26" t="s">
        <v>166</v>
      </c>
      <c r="C150" s="26" t="s">
        <v>166</v>
      </c>
      <c r="D150" s="29">
        <v>3105</v>
      </c>
      <c r="E150" s="29">
        <v>5</v>
      </c>
      <c r="F150" s="29"/>
      <c r="G150" s="29"/>
      <c r="H150" s="26" t="s">
        <v>19</v>
      </c>
      <c r="I150" s="70" t="s">
        <v>8</v>
      </c>
      <c r="J150" s="26">
        <v>0.85499999999999998</v>
      </c>
      <c r="K150" s="26">
        <v>3.5640000000000001</v>
      </c>
      <c r="L150" s="26">
        <v>0.32700000000000001</v>
      </c>
      <c r="M150" s="26">
        <v>5.6000000000000001E-2</v>
      </c>
      <c r="N150" s="26">
        <v>4.0995399000403901E-2</v>
      </c>
      <c r="O150" s="26">
        <v>23.315000000000001</v>
      </c>
      <c r="P150" t="s">
        <v>660</v>
      </c>
      <c r="AA150">
        <v>40.775289000000001</v>
      </c>
      <c r="AB150">
        <v>-85.623689999999996</v>
      </c>
      <c r="AC150">
        <v>6</v>
      </c>
      <c r="AD150">
        <v>23</v>
      </c>
      <c r="AE150">
        <v>2023</v>
      </c>
      <c r="AF150" t="b">
        <v>0</v>
      </c>
      <c r="AG150" s="19">
        <v>45100</v>
      </c>
    </row>
    <row r="151" spans="1:33" x14ac:dyDescent="0.25">
      <c r="A151" s="25">
        <v>10150</v>
      </c>
      <c r="B151" t="s">
        <v>167</v>
      </c>
      <c r="C151" t="s">
        <v>167</v>
      </c>
      <c r="D151" s="27">
        <v>3106</v>
      </c>
      <c r="E151" s="27">
        <v>6</v>
      </c>
      <c r="F151" s="27"/>
      <c r="G151" s="27"/>
      <c r="H151" t="s">
        <v>19</v>
      </c>
      <c r="I151" s="24" t="s">
        <v>8</v>
      </c>
      <c r="M151">
        <v>5.2499999999999998E-2</v>
      </c>
      <c r="N151">
        <v>4.6049227570846403E-2</v>
      </c>
      <c r="O151">
        <v>19.395</v>
      </c>
      <c r="P151" t="s">
        <v>660</v>
      </c>
      <c r="AA151">
        <v>40.775669000000001</v>
      </c>
      <c r="AB151">
        <v>-85.606437999999997</v>
      </c>
      <c r="AC151">
        <v>6</v>
      </c>
      <c r="AD151">
        <v>23</v>
      </c>
      <c r="AE151">
        <v>2023</v>
      </c>
      <c r="AF151" t="b">
        <v>0</v>
      </c>
      <c r="AG151" s="19">
        <v>45100</v>
      </c>
    </row>
    <row r="152" spans="1:33" x14ac:dyDescent="0.25">
      <c r="A152" s="25">
        <v>10151</v>
      </c>
      <c r="B152" t="s">
        <v>168</v>
      </c>
      <c r="C152" t="s">
        <v>168</v>
      </c>
      <c r="D152" s="27">
        <v>3107</v>
      </c>
      <c r="E152" s="27">
        <v>7</v>
      </c>
      <c r="F152" s="27"/>
      <c r="G152" s="27"/>
      <c r="H152" t="s">
        <v>19</v>
      </c>
      <c r="I152" s="24" t="s">
        <v>8</v>
      </c>
      <c r="M152">
        <v>4.2500000000000003E-2</v>
      </c>
      <c r="N152">
        <v>5.1201853453580999E-3</v>
      </c>
      <c r="O152">
        <v>27.805</v>
      </c>
      <c r="P152" t="s">
        <v>660</v>
      </c>
      <c r="AA152">
        <v>40.775680000000001</v>
      </c>
      <c r="AB152">
        <v>-85.579875999999999</v>
      </c>
      <c r="AC152">
        <v>6</v>
      </c>
      <c r="AD152">
        <v>23</v>
      </c>
      <c r="AE152">
        <v>2023</v>
      </c>
      <c r="AF152" t="b">
        <v>0</v>
      </c>
      <c r="AG152" s="19">
        <v>45100</v>
      </c>
    </row>
    <row r="153" spans="1:33" x14ac:dyDescent="0.25">
      <c r="A153" s="25">
        <v>10152</v>
      </c>
      <c r="B153" s="26" t="s">
        <v>169</v>
      </c>
      <c r="C153" s="26" t="s">
        <v>169</v>
      </c>
      <c r="D153" s="29">
        <v>3108</v>
      </c>
      <c r="E153" s="29">
        <v>8</v>
      </c>
      <c r="F153" s="29"/>
      <c r="G153" s="29"/>
      <c r="H153" s="26" t="s">
        <v>19</v>
      </c>
      <c r="I153" s="70" t="s">
        <v>8</v>
      </c>
      <c r="J153" s="26">
        <v>1.06535</v>
      </c>
      <c r="K153" s="26">
        <v>3.6315</v>
      </c>
      <c r="L153" s="26">
        <v>0.32150000000000001</v>
      </c>
      <c r="M153" s="26">
        <v>7.6999999999999999E-2</v>
      </c>
      <c r="N153" s="26">
        <v>0.170919582628346</v>
      </c>
      <c r="O153" s="26">
        <v>45.42</v>
      </c>
      <c r="P153" t="s">
        <v>660</v>
      </c>
      <c r="AA153">
        <v>40.766798999999999</v>
      </c>
      <c r="AB153">
        <v>-85.597628999999998</v>
      </c>
      <c r="AC153">
        <v>6</v>
      </c>
      <c r="AD153">
        <v>23</v>
      </c>
      <c r="AE153">
        <v>2023</v>
      </c>
      <c r="AF153" t="b">
        <v>0</v>
      </c>
      <c r="AG153" s="19">
        <v>45100</v>
      </c>
    </row>
    <row r="154" spans="1:33" x14ac:dyDescent="0.25">
      <c r="A154" s="25">
        <v>10153</v>
      </c>
      <c r="B154" t="s">
        <v>170</v>
      </c>
      <c r="C154" t="s">
        <v>170</v>
      </c>
      <c r="D154" s="27">
        <v>3109</v>
      </c>
      <c r="E154" s="27">
        <v>9</v>
      </c>
      <c r="F154" s="27"/>
      <c r="G154" s="27"/>
      <c r="H154" t="s">
        <v>19</v>
      </c>
      <c r="I154" s="24" t="s">
        <v>8</v>
      </c>
      <c r="M154">
        <v>8.1500000000000003E-2</v>
      </c>
      <c r="N154">
        <v>9.6448704458811596E-2</v>
      </c>
      <c r="O154">
        <v>50.594999999999999</v>
      </c>
      <c r="P154" t="s">
        <v>660</v>
      </c>
      <c r="AA154">
        <v>40.756483000000003</v>
      </c>
      <c r="AB154">
        <v>-85.594418000000005</v>
      </c>
      <c r="AC154">
        <v>6</v>
      </c>
      <c r="AD154">
        <v>23</v>
      </c>
      <c r="AE154">
        <v>2023</v>
      </c>
      <c r="AF154" t="b">
        <v>0</v>
      </c>
      <c r="AG154" s="19">
        <v>45100</v>
      </c>
    </row>
    <row r="155" spans="1:33" x14ac:dyDescent="0.25">
      <c r="A155" s="25">
        <v>10154</v>
      </c>
      <c r="B155" s="26" t="s">
        <v>171</v>
      </c>
      <c r="C155" s="26" t="s">
        <v>171</v>
      </c>
      <c r="D155" s="29">
        <v>3110</v>
      </c>
      <c r="E155" s="29">
        <v>10</v>
      </c>
      <c r="F155" s="29"/>
      <c r="G155" s="29"/>
      <c r="H155" s="26" t="s">
        <v>19</v>
      </c>
      <c r="I155" s="70" t="s">
        <v>8</v>
      </c>
      <c r="J155" s="26">
        <v>0.80659999999999998</v>
      </c>
      <c r="K155" s="26">
        <v>3.0034999999999998</v>
      </c>
      <c r="L155" s="26">
        <v>0.32850000000000001</v>
      </c>
      <c r="M155" s="26">
        <v>6.3500000000000001E-2</v>
      </c>
      <c r="N155" s="26">
        <v>8.2638851667943394E-2</v>
      </c>
      <c r="O155" s="26">
        <v>22.09</v>
      </c>
      <c r="P155" t="s">
        <v>660</v>
      </c>
      <c r="AA155">
        <v>40.756180999999998</v>
      </c>
      <c r="AB155">
        <v>-85.581931999999995</v>
      </c>
      <c r="AC155">
        <v>6</v>
      </c>
      <c r="AD155">
        <v>23</v>
      </c>
      <c r="AE155">
        <v>2023</v>
      </c>
      <c r="AF155" t="b">
        <v>0</v>
      </c>
      <c r="AG155" s="19">
        <v>45100</v>
      </c>
    </row>
    <row r="156" spans="1:33" x14ac:dyDescent="0.25">
      <c r="A156" s="25">
        <v>10155</v>
      </c>
      <c r="B156" s="26" t="s">
        <v>172</v>
      </c>
      <c r="C156" s="26" t="s">
        <v>172</v>
      </c>
      <c r="D156" s="29">
        <v>3111</v>
      </c>
      <c r="E156" s="29">
        <v>11</v>
      </c>
      <c r="F156" s="29"/>
      <c r="G156" s="29"/>
      <c r="H156" s="26" t="s">
        <v>19</v>
      </c>
      <c r="I156" s="70" t="s">
        <v>8</v>
      </c>
      <c r="J156" s="26">
        <v>1.29175</v>
      </c>
      <c r="K156" s="26">
        <v>4.1565000000000003</v>
      </c>
      <c r="L156" s="26">
        <v>0.39750000000000002</v>
      </c>
      <c r="M156" s="26">
        <v>0.09</v>
      </c>
      <c r="N156" s="26">
        <v>2.8128045640430799E-2</v>
      </c>
      <c r="O156" s="26">
        <v>38.96</v>
      </c>
      <c r="P156" t="s">
        <v>660</v>
      </c>
      <c r="AA156">
        <v>40.746032999999997</v>
      </c>
      <c r="AB156">
        <v>-85.568810999999997</v>
      </c>
      <c r="AC156">
        <v>6</v>
      </c>
      <c r="AD156">
        <v>23</v>
      </c>
      <c r="AE156">
        <v>2023</v>
      </c>
      <c r="AF156" t="b">
        <v>0</v>
      </c>
      <c r="AG156" s="19">
        <v>45100</v>
      </c>
    </row>
    <row r="157" spans="1:33" x14ac:dyDescent="0.25">
      <c r="A157" s="25">
        <v>10156</v>
      </c>
      <c r="B157" t="s">
        <v>173</v>
      </c>
      <c r="C157" t="s">
        <v>173</v>
      </c>
      <c r="D157" s="27">
        <v>3112</v>
      </c>
      <c r="E157" s="27">
        <v>12</v>
      </c>
      <c r="F157" s="27"/>
      <c r="G157" s="27"/>
      <c r="H157" t="s">
        <v>19</v>
      </c>
      <c r="I157" s="24" t="s">
        <v>8</v>
      </c>
      <c r="M157">
        <v>6.7000000000000004E-2</v>
      </c>
      <c r="N157">
        <v>3.7333642147783098E-2</v>
      </c>
      <c r="O157">
        <v>33.69</v>
      </c>
      <c r="P157" t="s">
        <v>660</v>
      </c>
      <c r="AA157">
        <v>40.746825000000001</v>
      </c>
      <c r="AB157">
        <v>-85.548726000000002</v>
      </c>
      <c r="AC157">
        <v>6</v>
      </c>
      <c r="AD157">
        <v>23</v>
      </c>
      <c r="AE157">
        <v>2023</v>
      </c>
      <c r="AF157" t="b">
        <v>0</v>
      </c>
      <c r="AG157" s="19">
        <v>45100</v>
      </c>
    </row>
    <row r="158" spans="1:33" x14ac:dyDescent="0.25">
      <c r="A158" s="25">
        <v>10157</v>
      </c>
      <c r="B158" t="s">
        <v>174</v>
      </c>
      <c r="C158" t="s">
        <v>174</v>
      </c>
      <c r="D158" s="27">
        <v>3113</v>
      </c>
      <c r="E158" s="27">
        <v>13</v>
      </c>
      <c r="F158" s="27"/>
      <c r="G158" s="27"/>
      <c r="H158" t="s">
        <v>19</v>
      </c>
      <c r="I158" s="24" t="s">
        <v>8</v>
      </c>
      <c r="M158">
        <v>5.45E-2</v>
      </c>
      <c r="N158">
        <v>8.98515247316478E-2</v>
      </c>
      <c r="O158">
        <v>7.39</v>
      </c>
      <c r="P158" t="s">
        <v>660</v>
      </c>
      <c r="AA158">
        <v>40.780119999999997</v>
      </c>
      <c r="AB158">
        <v>-85.637044000000003</v>
      </c>
      <c r="AC158">
        <v>6</v>
      </c>
      <c r="AD158">
        <v>23</v>
      </c>
      <c r="AE158">
        <v>2023</v>
      </c>
      <c r="AF158" t="b">
        <v>0</v>
      </c>
      <c r="AG158" s="19">
        <v>45100</v>
      </c>
    </row>
    <row r="159" spans="1:33" x14ac:dyDescent="0.25">
      <c r="A159" s="25">
        <v>10158</v>
      </c>
      <c r="B159" t="s">
        <v>175</v>
      </c>
      <c r="C159" t="s">
        <v>552</v>
      </c>
      <c r="D159" s="27" t="s">
        <v>510</v>
      </c>
      <c r="E159" s="27" t="str">
        <f t="shared" ref="E159:E181" si="4">RIGHT(D159,2)</f>
        <v>?</v>
      </c>
      <c r="F159" s="27"/>
      <c r="G159" s="27"/>
      <c r="H159" t="s">
        <v>17</v>
      </c>
      <c r="I159" s="24" t="s">
        <v>9</v>
      </c>
      <c r="M159">
        <v>5.0999999999999997E-2</v>
      </c>
      <c r="N159">
        <v>1.0247288333790301</v>
      </c>
      <c r="O159">
        <v>38.844999999999999</v>
      </c>
      <c r="P159" t="s">
        <v>660</v>
      </c>
      <c r="AA159">
        <v>40.714055999999999</v>
      </c>
      <c r="AB159">
        <v>-85.937066000000002</v>
      </c>
      <c r="AC159">
        <v>6</v>
      </c>
      <c r="AD159">
        <v>27</v>
      </c>
      <c r="AE159">
        <v>2023</v>
      </c>
      <c r="AF159" t="b">
        <v>0</v>
      </c>
      <c r="AG159" s="19">
        <v>45104</v>
      </c>
    </row>
    <row r="160" spans="1:33" x14ac:dyDescent="0.25">
      <c r="A160" s="25">
        <v>10159</v>
      </c>
      <c r="B160" s="26" t="s">
        <v>176</v>
      </c>
      <c r="C160" s="26" t="s">
        <v>552</v>
      </c>
      <c r="D160" s="29" t="s">
        <v>510</v>
      </c>
      <c r="E160" s="29" t="str">
        <f t="shared" si="4"/>
        <v>?</v>
      </c>
      <c r="F160" s="29"/>
      <c r="G160" s="29"/>
      <c r="H160" s="26" t="s">
        <v>17</v>
      </c>
      <c r="I160" s="70" t="s">
        <v>9</v>
      </c>
      <c r="J160" s="26">
        <v>0.16209999999999999</v>
      </c>
      <c r="K160" s="26">
        <v>3.593</v>
      </c>
      <c r="L160" s="26">
        <v>-0.01</v>
      </c>
      <c r="M160" s="26">
        <v>5.45E-2</v>
      </c>
      <c r="N160" s="26">
        <v>1.8611379869114699</v>
      </c>
      <c r="O160" s="26">
        <v>43.984999999999999</v>
      </c>
      <c r="P160" t="s">
        <v>660</v>
      </c>
      <c r="AA160">
        <v>40.714627999999998</v>
      </c>
      <c r="AB160">
        <v>-85.937872999999996</v>
      </c>
      <c r="AC160">
        <v>6</v>
      </c>
      <c r="AD160">
        <v>27</v>
      </c>
      <c r="AE160">
        <v>2023</v>
      </c>
      <c r="AF160" t="b">
        <v>0</v>
      </c>
      <c r="AG160" s="19">
        <v>45104</v>
      </c>
    </row>
    <row r="161" spans="1:33" x14ac:dyDescent="0.25">
      <c r="A161" s="25">
        <v>10160</v>
      </c>
      <c r="B161" s="26" t="s">
        <v>177</v>
      </c>
      <c r="C161" s="26" t="s">
        <v>552</v>
      </c>
      <c r="D161" s="29" t="s">
        <v>510</v>
      </c>
      <c r="E161" s="29" t="str">
        <f t="shared" si="4"/>
        <v>?</v>
      </c>
      <c r="F161" s="29"/>
      <c r="G161" s="29"/>
      <c r="H161" s="26" t="s">
        <v>17</v>
      </c>
      <c r="I161" s="70" t="s">
        <v>9</v>
      </c>
      <c r="J161" s="26">
        <v>0.32155</v>
      </c>
      <c r="K161" s="26">
        <v>3.4714999999999998</v>
      </c>
      <c r="L161" s="26">
        <v>0.151</v>
      </c>
      <c r="M161" s="26">
        <v>4.2999999999999997E-2</v>
      </c>
      <c r="N161" s="26">
        <v>1.1833880309228499</v>
      </c>
      <c r="O161" s="26">
        <v>23.675000000000001</v>
      </c>
      <c r="P161" t="s">
        <v>660</v>
      </c>
      <c r="AA161">
        <v>40.705238000000001</v>
      </c>
      <c r="AB161">
        <v>-85.953678999999994</v>
      </c>
      <c r="AC161">
        <v>6</v>
      </c>
      <c r="AD161">
        <v>27</v>
      </c>
      <c r="AE161">
        <v>2023</v>
      </c>
      <c r="AF161" t="b">
        <v>0</v>
      </c>
      <c r="AG161" s="19">
        <v>45104</v>
      </c>
    </row>
    <row r="162" spans="1:33" x14ac:dyDescent="0.25">
      <c r="A162" s="25">
        <v>10161</v>
      </c>
      <c r="B162" t="s">
        <v>178</v>
      </c>
      <c r="C162" t="s">
        <v>552</v>
      </c>
      <c r="D162" s="27" t="s">
        <v>510</v>
      </c>
      <c r="E162" s="27" t="str">
        <f t="shared" si="4"/>
        <v>?</v>
      </c>
      <c r="F162" s="27"/>
      <c r="G162" s="27"/>
      <c r="H162" t="s">
        <v>17</v>
      </c>
      <c r="I162" s="24" t="s">
        <v>9</v>
      </c>
      <c r="M162">
        <v>8.5750000000000007E-2</v>
      </c>
      <c r="N162">
        <v>2.8600078997902001</v>
      </c>
      <c r="O162">
        <v>45.784999999999997</v>
      </c>
      <c r="P162" t="s">
        <v>660</v>
      </c>
      <c r="AA162">
        <v>40.703391000000003</v>
      </c>
      <c r="AB162">
        <v>-85.936471999999995</v>
      </c>
      <c r="AC162">
        <v>6</v>
      </c>
      <c r="AD162">
        <v>27</v>
      </c>
      <c r="AE162">
        <v>2023</v>
      </c>
      <c r="AF162" t="b">
        <v>0</v>
      </c>
      <c r="AG162" s="19">
        <v>45104</v>
      </c>
    </row>
    <row r="163" spans="1:33" x14ac:dyDescent="0.25">
      <c r="A163" s="25">
        <v>10162</v>
      </c>
      <c r="B163" t="s">
        <v>179</v>
      </c>
      <c r="C163" t="s">
        <v>552</v>
      </c>
      <c r="D163" s="27" t="s">
        <v>510</v>
      </c>
      <c r="E163" s="27" t="str">
        <f t="shared" si="4"/>
        <v>?</v>
      </c>
      <c r="F163" s="27"/>
      <c r="G163" s="27"/>
      <c r="H163" t="s">
        <v>17</v>
      </c>
      <c r="I163" s="24" t="s">
        <v>9</v>
      </c>
      <c r="M163">
        <v>8.9749999999999996E-2</v>
      </c>
      <c r="N163">
        <v>2.6070250353352198</v>
      </c>
      <c r="O163">
        <v>49.524999999999999</v>
      </c>
      <c r="P163" t="s">
        <v>660</v>
      </c>
      <c r="AA163">
        <v>40.702609000000002</v>
      </c>
      <c r="AB163">
        <v>-85.936130000000006</v>
      </c>
      <c r="AC163">
        <v>6</v>
      </c>
      <c r="AD163">
        <v>27</v>
      </c>
      <c r="AE163">
        <v>2023</v>
      </c>
      <c r="AF163" t="b">
        <v>0</v>
      </c>
      <c r="AG163" s="19">
        <v>45104</v>
      </c>
    </row>
    <row r="164" spans="1:33" x14ac:dyDescent="0.25">
      <c r="A164" s="25">
        <v>10163</v>
      </c>
      <c r="B164" t="s">
        <v>180</v>
      </c>
      <c r="C164" t="s">
        <v>552</v>
      </c>
      <c r="D164" s="27" t="s">
        <v>510</v>
      </c>
      <c r="E164" s="27" t="str">
        <f t="shared" si="4"/>
        <v>?</v>
      </c>
      <c r="F164" s="27"/>
      <c r="G164" s="27"/>
      <c r="H164" t="s">
        <v>17</v>
      </c>
      <c r="I164" s="24" t="s">
        <v>9</v>
      </c>
      <c r="M164">
        <v>8.7999999999999995E-2</v>
      </c>
      <c r="N164">
        <v>1.5724183158623899</v>
      </c>
      <c r="O164">
        <v>66.415000000000006</v>
      </c>
      <c r="P164" t="s">
        <v>660</v>
      </c>
      <c r="AA164">
        <v>40.700673000000002</v>
      </c>
      <c r="AB164">
        <v>-85.935236000000003</v>
      </c>
      <c r="AC164">
        <v>6</v>
      </c>
      <c r="AD164">
        <v>27</v>
      </c>
      <c r="AE164">
        <v>2023</v>
      </c>
      <c r="AF164" t="b">
        <v>0</v>
      </c>
      <c r="AG164" s="19">
        <v>45104</v>
      </c>
    </row>
    <row r="165" spans="1:33" x14ac:dyDescent="0.25">
      <c r="A165" s="25">
        <v>10164</v>
      </c>
      <c r="B165" s="26" t="s">
        <v>181</v>
      </c>
      <c r="C165" s="26" t="s">
        <v>552</v>
      </c>
      <c r="D165" s="29" t="s">
        <v>510</v>
      </c>
      <c r="E165" s="29" t="str">
        <f t="shared" si="4"/>
        <v>?</v>
      </c>
      <c r="F165" s="29"/>
      <c r="G165" s="29"/>
      <c r="H165" s="26" t="s">
        <v>17</v>
      </c>
      <c r="I165" s="70" t="s">
        <v>9</v>
      </c>
      <c r="J165" s="26">
        <v>9.1399999999999995E-2</v>
      </c>
      <c r="K165" s="26">
        <v>3.3570000000000002</v>
      </c>
      <c r="L165" s="26">
        <v>6.4000000000000001E-2</v>
      </c>
      <c r="M165" s="26">
        <v>5.1499999999999997E-2</v>
      </c>
      <c r="N165" s="26">
        <v>3.2583948699833298</v>
      </c>
      <c r="O165" s="26">
        <v>32.975000000000001</v>
      </c>
      <c r="P165" t="s">
        <v>660</v>
      </c>
      <c r="AA165">
        <v>40.680439</v>
      </c>
      <c r="AB165">
        <v>-85.895401000000007</v>
      </c>
      <c r="AC165">
        <v>6</v>
      </c>
      <c r="AD165">
        <v>27</v>
      </c>
      <c r="AE165">
        <v>2023</v>
      </c>
      <c r="AF165" t="b">
        <v>0</v>
      </c>
      <c r="AG165" s="19">
        <v>45104</v>
      </c>
    </row>
    <row r="166" spans="1:33" x14ac:dyDescent="0.25">
      <c r="A166" s="25">
        <v>10165</v>
      </c>
      <c r="B166" s="26" t="s">
        <v>182</v>
      </c>
      <c r="C166" s="26" t="s">
        <v>552</v>
      </c>
      <c r="D166" s="29" t="s">
        <v>510</v>
      </c>
      <c r="E166" s="29" t="str">
        <f t="shared" si="4"/>
        <v>?</v>
      </c>
      <c r="F166" s="29"/>
      <c r="G166" s="29"/>
      <c r="H166" s="26" t="s">
        <v>17</v>
      </c>
      <c r="I166" s="70" t="s">
        <v>9</v>
      </c>
      <c r="J166" s="26">
        <v>0.47699999999999998</v>
      </c>
      <c r="K166" s="26">
        <v>4.6470000000000002</v>
      </c>
      <c r="L166" s="26">
        <v>0.14149999999999999</v>
      </c>
      <c r="M166" s="26">
        <v>9.7000000000000003E-2</v>
      </c>
      <c r="N166" s="26">
        <v>1.0944877529141901</v>
      </c>
      <c r="O166" s="26">
        <v>57.305</v>
      </c>
      <c r="P166" t="s">
        <v>660</v>
      </c>
      <c r="AA166">
        <v>40.668534000000001</v>
      </c>
      <c r="AB166">
        <v>-85.848680999999999</v>
      </c>
      <c r="AC166">
        <v>6</v>
      </c>
      <c r="AD166">
        <v>27</v>
      </c>
      <c r="AE166">
        <v>2023</v>
      </c>
      <c r="AF166" t="b">
        <v>0</v>
      </c>
      <c r="AG166" s="19">
        <v>45104</v>
      </c>
    </row>
    <row r="167" spans="1:33" x14ac:dyDescent="0.25">
      <c r="A167" s="25">
        <v>10166</v>
      </c>
      <c r="B167" t="s">
        <v>183</v>
      </c>
      <c r="C167" t="s">
        <v>553</v>
      </c>
      <c r="D167" s="27" t="s">
        <v>510</v>
      </c>
      <c r="E167" s="27" t="str">
        <f t="shared" si="4"/>
        <v>?</v>
      </c>
      <c r="F167" s="27"/>
      <c r="G167" s="27"/>
      <c r="H167" t="s">
        <v>18</v>
      </c>
      <c r="I167" s="24" t="s">
        <v>9</v>
      </c>
      <c r="J167">
        <v>1.5699999999999999E-2</v>
      </c>
      <c r="K167">
        <v>1.083</v>
      </c>
      <c r="L167">
        <v>8.0000000000000002E-3</v>
      </c>
      <c r="N167" t="s">
        <v>660</v>
      </c>
      <c r="O167">
        <v>10.25</v>
      </c>
      <c r="P167" t="s">
        <v>660</v>
      </c>
      <c r="AA167">
        <v>40.808810000000001</v>
      </c>
      <c r="AB167">
        <v>-86.794690000000003</v>
      </c>
      <c r="AC167">
        <v>6</v>
      </c>
      <c r="AD167">
        <v>30</v>
      </c>
      <c r="AE167">
        <v>2023</v>
      </c>
      <c r="AF167" t="b">
        <v>0</v>
      </c>
      <c r="AG167" s="19">
        <v>45107</v>
      </c>
    </row>
    <row r="168" spans="1:33" x14ac:dyDescent="0.25">
      <c r="A168" s="25">
        <v>10167</v>
      </c>
      <c r="B168" t="s">
        <v>184</v>
      </c>
      <c r="C168" t="s">
        <v>553</v>
      </c>
      <c r="D168" s="27" t="s">
        <v>510</v>
      </c>
      <c r="E168" s="27" t="str">
        <f t="shared" si="4"/>
        <v>?</v>
      </c>
      <c r="F168" s="27"/>
      <c r="G168" s="27"/>
      <c r="H168" t="s">
        <v>18</v>
      </c>
      <c r="I168" s="24" t="s">
        <v>9</v>
      </c>
      <c r="J168">
        <v>2.6599999999999999E-2</v>
      </c>
      <c r="K168">
        <v>0.216</v>
      </c>
      <c r="L168">
        <v>3.0000000000000001E-3</v>
      </c>
      <c r="N168" t="s">
        <v>660</v>
      </c>
      <c r="O168">
        <v>44.68</v>
      </c>
      <c r="P168" t="s">
        <v>660</v>
      </c>
      <c r="AA168">
        <v>40.823822</v>
      </c>
      <c r="AB168">
        <v>-86.794567000000001</v>
      </c>
      <c r="AC168">
        <v>6</v>
      </c>
      <c r="AD168">
        <v>30</v>
      </c>
      <c r="AE168">
        <v>2023</v>
      </c>
      <c r="AF168" t="b">
        <v>0</v>
      </c>
      <c r="AG168" s="19">
        <v>45107</v>
      </c>
    </row>
    <row r="169" spans="1:33" x14ac:dyDescent="0.25">
      <c r="A169" s="25">
        <v>10168</v>
      </c>
      <c r="B169" t="s">
        <v>185</v>
      </c>
      <c r="C169" t="s">
        <v>553</v>
      </c>
      <c r="D169" s="27" t="s">
        <v>510</v>
      </c>
      <c r="E169" s="27" t="str">
        <f t="shared" si="4"/>
        <v>?</v>
      </c>
      <c r="F169" s="27"/>
      <c r="G169" s="27"/>
      <c r="H169" t="s">
        <v>18</v>
      </c>
      <c r="I169" s="24" t="s">
        <v>9</v>
      </c>
      <c r="J169">
        <v>0.35780000000000001</v>
      </c>
      <c r="K169">
        <v>0.14499999999999999</v>
      </c>
      <c r="L169">
        <v>7.2999999999999995E-2</v>
      </c>
      <c r="N169" t="s">
        <v>660</v>
      </c>
      <c r="O169">
        <v>44.51</v>
      </c>
      <c r="P169" t="s">
        <v>660</v>
      </c>
      <c r="AA169">
        <v>40.843389999999999</v>
      </c>
      <c r="AB169">
        <v>-86.817490000000006</v>
      </c>
      <c r="AC169">
        <v>6</v>
      </c>
      <c r="AD169">
        <v>30</v>
      </c>
      <c r="AE169">
        <v>2023</v>
      </c>
      <c r="AF169" t="b">
        <v>0</v>
      </c>
      <c r="AG169" s="19">
        <v>45107</v>
      </c>
    </row>
    <row r="170" spans="1:33" x14ac:dyDescent="0.25">
      <c r="A170" s="25">
        <v>10169</v>
      </c>
      <c r="B170" t="s">
        <v>186</v>
      </c>
      <c r="C170" t="s">
        <v>554</v>
      </c>
      <c r="D170" s="27" t="s">
        <v>510</v>
      </c>
      <c r="E170" s="27" t="str">
        <f t="shared" si="4"/>
        <v>?</v>
      </c>
      <c r="F170" s="27"/>
      <c r="G170" s="27"/>
      <c r="H170" t="s">
        <v>508</v>
      </c>
      <c r="I170" s="24" t="s">
        <v>9</v>
      </c>
      <c r="J170">
        <v>7.4999999999999997E-2</v>
      </c>
      <c r="K170">
        <v>0.54500000000000004</v>
      </c>
      <c r="L170">
        <v>-8.0000000000000002E-3</v>
      </c>
      <c r="N170" t="s">
        <v>660</v>
      </c>
      <c r="O170">
        <v>34.265000000000001</v>
      </c>
      <c r="P170" t="s">
        <v>660</v>
      </c>
      <c r="AA170">
        <v>40.6937</v>
      </c>
      <c r="AB170">
        <v>-86.767030000000005</v>
      </c>
      <c r="AC170">
        <v>6</v>
      </c>
      <c r="AD170">
        <v>30</v>
      </c>
      <c r="AE170">
        <v>2023</v>
      </c>
      <c r="AF170" t="b">
        <v>0</v>
      </c>
      <c r="AG170" s="19">
        <v>45107</v>
      </c>
    </row>
    <row r="171" spans="1:33" x14ac:dyDescent="0.25">
      <c r="A171" s="25">
        <v>10170</v>
      </c>
      <c r="B171" t="s">
        <v>187</v>
      </c>
      <c r="C171" t="s">
        <v>554</v>
      </c>
      <c r="D171" s="27" t="s">
        <v>510</v>
      </c>
      <c r="E171" s="27" t="str">
        <f t="shared" si="4"/>
        <v>?</v>
      </c>
      <c r="F171" s="27"/>
      <c r="G171" s="27"/>
      <c r="H171" t="s">
        <v>508</v>
      </c>
      <c r="I171" s="24" t="s">
        <v>9</v>
      </c>
      <c r="J171">
        <v>7.17E-2</v>
      </c>
      <c r="K171">
        <v>0.498</v>
      </c>
      <c r="L171">
        <v>-8.0000000000000002E-3</v>
      </c>
      <c r="N171" t="s">
        <v>660</v>
      </c>
      <c r="O171">
        <v>21.23</v>
      </c>
      <c r="P171" t="s">
        <v>660</v>
      </c>
      <c r="AA171">
        <v>40.667830000000002</v>
      </c>
      <c r="AB171">
        <v>-86.753209999999996</v>
      </c>
      <c r="AC171">
        <v>6</v>
      </c>
      <c r="AD171">
        <v>30</v>
      </c>
      <c r="AE171">
        <v>2023</v>
      </c>
      <c r="AF171" t="b">
        <v>0</v>
      </c>
      <c r="AG171" s="19">
        <v>45107</v>
      </c>
    </row>
    <row r="172" spans="1:33" x14ac:dyDescent="0.25">
      <c r="A172" s="25">
        <v>10171</v>
      </c>
      <c r="B172" t="s">
        <v>188</v>
      </c>
      <c r="C172" t="s">
        <v>554</v>
      </c>
      <c r="D172" s="27" t="s">
        <v>510</v>
      </c>
      <c r="E172" s="27" t="str">
        <f t="shared" si="4"/>
        <v>?</v>
      </c>
      <c r="F172" s="27"/>
      <c r="G172" s="27"/>
      <c r="H172" t="s">
        <v>508</v>
      </c>
      <c r="I172" s="24" t="s">
        <v>9</v>
      </c>
      <c r="J172">
        <v>6.4899999999999999E-2</v>
      </c>
      <c r="K172">
        <v>0.45200000000000001</v>
      </c>
      <c r="L172">
        <v>-5.0000000000000001E-3</v>
      </c>
      <c r="M172">
        <v>5.8500000000000003E-2</v>
      </c>
      <c r="N172" t="s">
        <v>660</v>
      </c>
      <c r="O172">
        <v>28.41</v>
      </c>
      <c r="P172" t="s">
        <v>660</v>
      </c>
      <c r="AA172">
        <v>40.680729999999997</v>
      </c>
      <c r="AB172">
        <v>-86.752049999999997</v>
      </c>
      <c r="AC172">
        <v>6</v>
      </c>
      <c r="AD172">
        <v>30</v>
      </c>
      <c r="AE172">
        <v>2023</v>
      </c>
      <c r="AF172" t="b">
        <v>0</v>
      </c>
      <c r="AG172" s="19">
        <v>45107</v>
      </c>
    </row>
    <row r="173" spans="1:33" x14ac:dyDescent="0.25">
      <c r="A173" s="25">
        <v>10172</v>
      </c>
      <c r="B173" t="s">
        <v>189</v>
      </c>
      <c r="C173" t="s">
        <v>554</v>
      </c>
      <c r="D173" s="27" t="s">
        <v>510</v>
      </c>
      <c r="E173" s="27" t="str">
        <f t="shared" si="4"/>
        <v>?</v>
      </c>
      <c r="F173" s="27"/>
      <c r="G173" s="27"/>
      <c r="H173" t="s">
        <v>508</v>
      </c>
      <c r="I173" s="24" t="s">
        <v>9</v>
      </c>
      <c r="J173">
        <v>9.9900000000000003E-2</v>
      </c>
      <c r="K173">
        <v>0.69599999999999995</v>
      </c>
      <c r="L173">
        <v>-4.0000000000000001E-3</v>
      </c>
      <c r="M173">
        <v>0.106</v>
      </c>
      <c r="N173" t="s">
        <v>660</v>
      </c>
      <c r="O173">
        <v>22.73</v>
      </c>
      <c r="P173" t="s">
        <v>660</v>
      </c>
      <c r="AA173">
        <v>40.730890000000002</v>
      </c>
      <c r="AB173">
        <v>-86.758020000000002</v>
      </c>
      <c r="AC173">
        <v>6</v>
      </c>
      <c r="AD173">
        <v>30</v>
      </c>
      <c r="AE173">
        <v>2023</v>
      </c>
      <c r="AF173" t="b">
        <v>0</v>
      </c>
      <c r="AG173" s="19">
        <v>45107</v>
      </c>
    </row>
    <row r="174" spans="1:33" x14ac:dyDescent="0.25">
      <c r="A174" s="25">
        <v>10173</v>
      </c>
      <c r="B174" t="s">
        <v>190</v>
      </c>
      <c r="C174" t="s">
        <v>554</v>
      </c>
      <c r="D174" s="27" t="s">
        <v>510</v>
      </c>
      <c r="E174" s="27" t="str">
        <f t="shared" si="4"/>
        <v>?</v>
      </c>
      <c r="F174" s="27"/>
      <c r="G174" s="27"/>
      <c r="H174" t="s">
        <v>508</v>
      </c>
      <c r="I174" s="24" t="s">
        <v>9</v>
      </c>
      <c r="J174">
        <v>6.1499999999999999E-2</v>
      </c>
      <c r="K174">
        <v>0.85099999999999998</v>
      </c>
      <c r="L174">
        <v>-7.0000000000000001E-3</v>
      </c>
      <c r="M174">
        <v>7.3499999999999996E-2</v>
      </c>
      <c r="N174" t="s">
        <v>660</v>
      </c>
      <c r="O174">
        <v>10.984999999999999</v>
      </c>
      <c r="P174" t="s">
        <v>660</v>
      </c>
      <c r="AA174">
        <v>40.745530000000002</v>
      </c>
      <c r="AB174">
        <v>-86.757270000000005</v>
      </c>
      <c r="AC174">
        <v>6</v>
      </c>
      <c r="AD174">
        <v>30</v>
      </c>
      <c r="AE174">
        <v>2023</v>
      </c>
      <c r="AF174" t="b">
        <v>0</v>
      </c>
      <c r="AG174" s="19">
        <v>45107</v>
      </c>
    </row>
    <row r="175" spans="1:33" x14ac:dyDescent="0.25">
      <c r="A175" s="25">
        <v>10174</v>
      </c>
      <c r="B175" t="s">
        <v>191</v>
      </c>
      <c r="C175" t="s">
        <v>555</v>
      </c>
      <c r="D175" s="27" t="s">
        <v>510</v>
      </c>
      <c r="E175" s="27" t="str">
        <f t="shared" si="4"/>
        <v>?</v>
      </c>
      <c r="F175" s="27"/>
      <c r="G175" s="27"/>
      <c r="H175" t="s">
        <v>19</v>
      </c>
      <c r="I175" s="24" t="s">
        <v>9</v>
      </c>
      <c r="J175">
        <v>2.6100000000000002E-2</v>
      </c>
      <c r="K175">
        <v>3.2589999999999999</v>
      </c>
      <c r="L175">
        <v>-5.0000000000000001E-3</v>
      </c>
      <c r="M175">
        <v>0.06</v>
      </c>
      <c r="N175" t="s">
        <v>660</v>
      </c>
      <c r="O175">
        <v>23.664999999999999</v>
      </c>
      <c r="P175" t="s">
        <v>660</v>
      </c>
      <c r="AA175">
        <v>40.803319999999999</v>
      </c>
      <c r="AB175">
        <v>-85.665239999999997</v>
      </c>
      <c r="AC175">
        <v>7</v>
      </c>
      <c r="AD175">
        <v>6</v>
      </c>
      <c r="AE175">
        <v>2023</v>
      </c>
      <c r="AF175" t="b">
        <v>0</v>
      </c>
      <c r="AG175" s="19">
        <v>45113</v>
      </c>
    </row>
    <row r="176" spans="1:33" x14ac:dyDescent="0.25">
      <c r="A176" s="25">
        <v>10175</v>
      </c>
      <c r="B176" t="s">
        <v>192</v>
      </c>
      <c r="C176" t="s">
        <v>555</v>
      </c>
      <c r="D176" s="27" t="s">
        <v>510</v>
      </c>
      <c r="E176" s="27" t="str">
        <f t="shared" si="4"/>
        <v>?</v>
      </c>
      <c r="F176" s="27"/>
      <c r="G176" s="27"/>
      <c r="H176" t="s">
        <v>19</v>
      </c>
      <c r="I176" s="24" t="s">
        <v>9</v>
      </c>
      <c r="J176">
        <v>3.8699999999999998E-2</v>
      </c>
      <c r="K176">
        <v>3.4540000000000002</v>
      </c>
      <c r="L176">
        <v>-7.4999999999999997E-3</v>
      </c>
      <c r="M176">
        <v>4.2000000000000003E-2</v>
      </c>
      <c r="N176" t="s">
        <v>660</v>
      </c>
      <c r="O176">
        <v>22.465</v>
      </c>
      <c r="P176" t="s">
        <v>660</v>
      </c>
      <c r="AA176">
        <v>40.792200000000001</v>
      </c>
      <c r="AB176">
        <v>-85.66695</v>
      </c>
      <c r="AC176">
        <v>7</v>
      </c>
      <c r="AD176">
        <v>6</v>
      </c>
      <c r="AE176">
        <v>2023</v>
      </c>
      <c r="AF176" t="b">
        <v>0</v>
      </c>
      <c r="AG176" s="19">
        <v>45113</v>
      </c>
    </row>
    <row r="177" spans="1:33" x14ac:dyDescent="0.25">
      <c r="A177" s="25">
        <v>10176</v>
      </c>
      <c r="B177" t="s">
        <v>193</v>
      </c>
      <c r="C177" t="s">
        <v>555</v>
      </c>
      <c r="D177" s="27" t="s">
        <v>510</v>
      </c>
      <c r="E177" s="27" t="str">
        <f t="shared" si="4"/>
        <v>?</v>
      </c>
      <c r="F177" s="27"/>
      <c r="G177" s="27"/>
      <c r="H177" t="s">
        <v>19</v>
      </c>
      <c r="I177" s="24" t="s">
        <v>9</v>
      </c>
      <c r="J177">
        <v>3.2199999999999999E-2</v>
      </c>
      <c r="K177">
        <v>3.1970000000000001</v>
      </c>
      <c r="L177">
        <v>-0.01</v>
      </c>
      <c r="M177">
        <v>5.7000000000000002E-2</v>
      </c>
      <c r="N177" t="s">
        <v>660</v>
      </c>
      <c r="O177">
        <v>25.46</v>
      </c>
      <c r="P177" t="s">
        <v>660</v>
      </c>
      <c r="AA177">
        <v>40.772410000000001</v>
      </c>
      <c r="AB177">
        <v>-85.639949999999999</v>
      </c>
      <c r="AC177">
        <v>7</v>
      </c>
      <c r="AD177">
        <v>6</v>
      </c>
      <c r="AE177">
        <v>2023</v>
      </c>
      <c r="AF177" t="b">
        <v>0</v>
      </c>
      <c r="AG177" s="19">
        <v>45113</v>
      </c>
    </row>
    <row r="178" spans="1:33" x14ac:dyDescent="0.25">
      <c r="A178" s="25">
        <v>10177</v>
      </c>
      <c r="B178" t="s">
        <v>194</v>
      </c>
      <c r="C178" t="s">
        <v>555</v>
      </c>
      <c r="D178" s="27" t="s">
        <v>510</v>
      </c>
      <c r="E178" s="27" t="str">
        <f t="shared" si="4"/>
        <v>?</v>
      </c>
      <c r="F178" s="27"/>
      <c r="G178" s="27"/>
      <c r="H178" t="s">
        <v>19</v>
      </c>
      <c r="I178" s="24" t="s">
        <v>9</v>
      </c>
      <c r="J178">
        <v>3.5233333333333297E-2</v>
      </c>
      <c r="K178">
        <v>3.1539999999999901</v>
      </c>
      <c r="L178">
        <v>-9.3333333333333393E-3</v>
      </c>
      <c r="M178">
        <v>5.2999999999999999E-2</v>
      </c>
      <c r="N178" t="s">
        <v>660</v>
      </c>
      <c r="O178">
        <v>15.13</v>
      </c>
      <c r="P178" t="s">
        <v>660</v>
      </c>
      <c r="AA178">
        <v>40.777529999999999</v>
      </c>
      <c r="AB178">
        <v>-85.646129999999999</v>
      </c>
      <c r="AC178">
        <v>7</v>
      </c>
      <c r="AD178">
        <v>6</v>
      </c>
      <c r="AE178">
        <v>2023</v>
      </c>
      <c r="AF178" t="b">
        <v>0</v>
      </c>
      <c r="AG178" s="19">
        <v>45113</v>
      </c>
    </row>
    <row r="179" spans="1:33" x14ac:dyDescent="0.25">
      <c r="A179" s="25">
        <v>10178</v>
      </c>
      <c r="B179" t="s">
        <v>195</v>
      </c>
      <c r="C179" t="s">
        <v>555</v>
      </c>
      <c r="D179" s="27" t="s">
        <v>510</v>
      </c>
      <c r="E179" s="27" t="str">
        <f t="shared" si="4"/>
        <v>?</v>
      </c>
      <c r="F179" s="27"/>
      <c r="G179" s="27"/>
      <c r="H179" t="s">
        <v>19</v>
      </c>
      <c r="I179" s="24" t="s">
        <v>9</v>
      </c>
      <c r="M179">
        <v>5.8500000000000003E-2</v>
      </c>
      <c r="N179" t="s">
        <v>660</v>
      </c>
      <c r="O179">
        <v>37.715000000000003</v>
      </c>
      <c r="P179" t="s">
        <v>660</v>
      </c>
      <c r="AA179">
        <v>40.77908</v>
      </c>
      <c r="AB179">
        <v>-85.63494</v>
      </c>
      <c r="AC179">
        <v>7</v>
      </c>
      <c r="AD179">
        <v>6</v>
      </c>
      <c r="AE179">
        <v>2023</v>
      </c>
      <c r="AF179" t="b">
        <v>0</v>
      </c>
      <c r="AG179" s="19">
        <v>45113</v>
      </c>
    </row>
    <row r="180" spans="1:33" x14ac:dyDescent="0.25">
      <c r="A180" s="25">
        <v>10179</v>
      </c>
      <c r="B180" t="s">
        <v>196</v>
      </c>
      <c r="C180" t="s">
        <v>555</v>
      </c>
      <c r="D180" s="27" t="s">
        <v>510</v>
      </c>
      <c r="E180" s="27" t="str">
        <f t="shared" si="4"/>
        <v>?</v>
      </c>
      <c r="F180" s="27"/>
      <c r="G180" s="27"/>
      <c r="H180" t="s">
        <v>19</v>
      </c>
      <c r="I180" s="24" t="s">
        <v>9</v>
      </c>
      <c r="J180">
        <v>4.24E-2</v>
      </c>
      <c r="K180">
        <v>3.0030000000000001</v>
      </c>
      <c r="L180">
        <v>-1.0999999999999999E-2</v>
      </c>
      <c r="M180">
        <v>4.0500000000000001E-2</v>
      </c>
      <c r="N180" t="s">
        <v>660</v>
      </c>
      <c r="O180">
        <v>23.64</v>
      </c>
      <c r="P180" t="s">
        <v>660</v>
      </c>
      <c r="AA180">
        <v>40.77243</v>
      </c>
      <c r="AB180">
        <v>-85.605029999999999</v>
      </c>
      <c r="AC180">
        <v>7</v>
      </c>
      <c r="AD180">
        <v>6</v>
      </c>
      <c r="AE180">
        <v>2023</v>
      </c>
      <c r="AF180" t="b">
        <v>0</v>
      </c>
      <c r="AG180" s="19">
        <v>45113</v>
      </c>
    </row>
    <row r="181" spans="1:33" x14ac:dyDescent="0.25">
      <c r="A181" s="25">
        <v>10180</v>
      </c>
      <c r="B181" t="s">
        <v>197</v>
      </c>
      <c r="C181" t="s">
        <v>555</v>
      </c>
      <c r="D181" s="27" t="s">
        <v>510</v>
      </c>
      <c r="E181" s="27" t="str">
        <f t="shared" si="4"/>
        <v>?</v>
      </c>
      <c r="F181" s="27"/>
      <c r="G181" s="27"/>
      <c r="H181" t="s">
        <v>19</v>
      </c>
      <c r="I181" s="24" t="s">
        <v>9</v>
      </c>
      <c r="J181">
        <v>4.9799999999999997E-2</v>
      </c>
      <c r="K181">
        <v>3.6440000000000001</v>
      </c>
      <c r="L181">
        <v>-1.2E-2</v>
      </c>
      <c r="M181">
        <v>6.5500000000000003E-2</v>
      </c>
      <c r="N181" t="s">
        <v>660</v>
      </c>
      <c r="O181">
        <v>42.685000000000002</v>
      </c>
      <c r="P181" t="s">
        <v>660</v>
      </c>
      <c r="AA181">
        <v>40.751190000000001</v>
      </c>
      <c r="AB181">
        <v>-85.581530000000001</v>
      </c>
      <c r="AC181">
        <v>7</v>
      </c>
      <c r="AD181">
        <v>6</v>
      </c>
      <c r="AE181">
        <v>2023</v>
      </c>
      <c r="AF181" t="b">
        <v>0</v>
      </c>
      <c r="AG181" s="19">
        <v>45113</v>
      </c>
    </row>
    <row r="182" spans="1:33" x14ac:dyDescent="0.25">
      <c r="A182" s="25">
        <v>10181</v>
      </c>
      <c r="B182" t="s">
        <v>198</v>
      </c>
      <c r="C182" t="s">
        <v>198</v>
      </c>
      <c r="D182" s="27">
        <v>2101</v>
      </c>
      <c r="E182" s="27">
        <v>1</v>
      </c>
      <c r="F182" s="27"/>
      <c r="G182" s="27"/>
      <c r="H182" t="s">
        <v>17</v>
      </c>
      <c r="I182" s="24" t="s">
        <v>8</v>
      </c>
      <c r="J182">
        <v>1.6899999999999998E-2</v>
      </c>
      <c r="K182">
        <v>3.8610000000000002</v>
      </c>
      <c r="L182">
        <v>-5.0000000000000001E-3</v>
      </c>
      <c r="M182">
        <v>3.85E-2</v>
      </c>
      <c r="N182" t="s">
        <v>660</v>
      </c>
      <c r="O182">
        <v>35.71</v>
      </c>
      <c r="P182" t="s">
        <v>660</v>
      </c>
      <c r="AA182">
        <v>40.680888000000003</v>
      </c>
      <c r="AB182">
        <v>-85.889013000000006</v>
      </c>
      <c r="AC182">
        <v>7</v>
      </c>
      <c r="AD182">
        <v>11</v>
      </c>
      <c r="AE182">
        <v>2023</v>
      </c>
      <c r="AF182" t="b">
        <v>0</v>
      </c>
      <c r="AG182" s="19">
        <v>45118</v>
      </c>
    </row>
    <row r="183" spans="1:33" x14ac:dyDescent="0.25">
      <c r="A183" s="25">
        <v>10182</v>
      </c>
      <c r="B183" t="s">
        <v>199</v>
      </c>
      <c r="C183" t="s">
        <v>199</v>
      </c>
      <c r="D183" s="27">
        <v>2102</v>
      </c>
      <c r="E183" s="27">
        <v>2</v>
      </c>
      <c r="F183" s="27"/>
      <c r="G183" s="27"/>
      <c r="H183" t="s">
        <v>17</v>
      </c>
      <c r="I183" s="24" t="s">
        <v>8</v>
      </c>
      <c r="J183">
        <v>2.8400000000000002E-2</v>
      </c>
      <c r="K183">
        <v>4.1900000000000004</v>
      </c>
      <c r="L183">
        <v>-1.2E-2</v>
      </c>
      <c r="M183">
        <v>4.8500000000000001E-2</v>
      </c>
      <c r="N183" t="s">
        <v>660</v>
      </c>
      <c r="O183">
        <v>33.125</v>
      </c>
      <c r="P183" t="s">
        <v>660</v>
      </c>
      <c r="AA183">
        <v>40.678037000000003</v>
      </c>
      <c r="AB183">
        <v>-85.87621</v>
      </c>
      <c r="AC183">
        <v>7</v>
      </c>
      <c r="AD183">
        <v>11</v>
      </c>
      <c r="AE183">
        <v>2023</v>
      </c>
      <c r="AF183" t="b">
        <v>0</v>
      </c>
      <c r="AG183" s="19">
        <v>45118</v>
      </c>
    </row>
    <row r="184" spans="1:33" x14ac:dyDescent="0.25">
      <c r="A184" s="25">
        <v>10183</v>
      </c>
      <c r="B184" t="s">
        <v>200</v>
      </c>
      <c r="C184" t="s">
        <v>200</v>
      </c>
      <c r="D184" s="27">
        <v>2103</v>
      </c>
      <c r="E184" s="27">
        <v>3</v>
      </c>
      <c r="F184" s="27"/>
      <c r="G184" s="27"/>
      <c r="H184" t="s">
        <v>17</v>
      </c>
      <c r="I184" s="24" t="s">
        <v>8</v>
      </c>
      <c r="J184">
        <v>9.2999999999999992E-3</v>
      </c>
      <c r="K184">
        <v>4.6559999999999997</v>
      </c>
      <c r="L184">
        <v>-0.01</v>
      </c>
      <c r="M184">
        <v>4.3999999999999997E-2</v>
      </c>
      <c r="N184" t="s">
        <v>660</v>
      </c>
      <c r="O184">
        <v>33.274999999999999</v>
      </c>
      <c r="P184" t="s">
        <v>660</v>
      </c>
      <c r="AA184">
        <v>40.671593999999999</v>
      </c>
      <c r="AB184">
        <v>-85.868559000000005</v>
      </c>
      <c r="AC184">
        <v>7</v>
      </c>
      <c r="AD184">
        <v>11</v>
      </c>
      <c r="AE184">
        <v>2023</v>
      </c>
      <c r="AF184" t="b">
        <v>0</v>
      </c>
      <c r="AG184" s="19">
        <v>45118</v>
      </c>
    </row>
    <row r="185" spans="1:33" x14ac:dyDescent="0.25">
      <c r="A185" s="25">
        <v>10184</v>
      </c>
      <c r="B185" t="s">
        <v>201</v>
      </c>
      <c r="C185" t="s">
        <v>201</v>
      </c>
      <c r="D185" s="27">
        <v>2104</v>
      </c>
      <c r="E185" s="27">
        <v>4</v>
      </c>
      <c r="F185" s="27"/>
      <c r="G185" s="27"/>
      <c r="H185" t="s">
        <v>17</v>
      </c>
      <c r="I185" s="24" t="s">
        <v>8</v>
      </c>
      <c r="J185">
        <v>1.2E-2</v>
      </c>
      <c r="K185">
        <v>5.915</v>
      </c>
      <c r="L185">
        <v>-0.01</v>
      </c>
      <c r="M185">
        <v>6.0999999999999999E-2</v>
      </c>
      <c r="N185" t="s">
        <v>660</v>
      </c>
      <c r="O185">
        <v>21.51</v>
      </c>
      <c r="P185" t="s">
        <v>660</v>
      </c>
      <c r="AA185">
        <v>40.663654000000001</v>
      </c>
      <c r="AB185">
        <v>-85.864614000000003</v>
      </c>
      <c r="AC185">
        <v>7</v>
      </c>
      <c r="AD185">
        <v>11</v>
      </c>
      <c r="AE185">
        <v>2023</v>
      </c>
      <c r="AF185" t="b">
        <v>0</v>
      </c>
      <c r="AG185" s="19">
        <v>45118</v>
      </c>
    </row>
    <row r="186" spans="1:33" x14ac:dyDescent="0.25">
      <c r="A186" s="25">
        <v>10185</v>
      </c>
      <c r="B186" t="s">
        <v>202</v>
      </c>
      <c r="C186" t="s">
        <v>202</v>
      </c>
      <c r="D186" s="27">
        <v>2105</v>
      </c>
      <c r="E186" s="27">
        <v>5</v>
      </c>
      <c r="F186" s="27"/>
      <c r="G186" s="27"/>
      <c r="H186" t="s">
        <v>17</v>
      </c>
      <c r="I186" s="24" t="s">
        <v>8</v>
      </c>
      <c r="J186">
        <v>2.2800000000000001E-2</v>
      </c>
      <c r="K186">
        <v>6.2850000000000001</v>
      </c>
      <c r="L186">
        <v>-7.0000000000000001E-3</v>
      </c>
      <c r="M186">
        <v>0.09</v>
      </c>
      <c r="N186" t="s">
        <v>660</v>
      </c>
      <c r="O186">
        <v>34.524999999999999</v>
      </c>
      <c r="P186" t="s">
        <v>660</v>
      </c>
      <c r="AA186">
        <v>40.669330000000002</v>
      </c>
      <c r="AB186">
        <v>-85.845554000000007</v>
      </c>
      <c r="AC186">
        <v>7</v>
      </c>
      <c r="AD186">
        <v>11</v>
      </c>
      <c r="AE186">
        <v>2023</v>
      </c>
      <c r="AF186" t="b">
        <v>0</v>
      </c>
      <c r="AG186" s="19">
        <v>45118</v>
      </c>
    </row>
    <row r="187" spans="1:33" x14ac:dyDescent="0.25">
      <c r="A187" s="25">
        <v>10186</v>
      </c>
      <c r="B187" t="s">
        <v>203</v>
      </c>
      <c r="C187" t="s">
        <v>203</v>
      </c>
      <c r="D187" s="27">
        <v>2106</v>
      </c>
      <c r="E187" s="27">
        <v>6</v>
      </c>
      <c r="F187" s="27"/>
      <c r="G187" s="27"/>
      <c r="H187" t="s">
        <v>17</v>
      </c>
      <c r="I187" s="24" t="s">
        <v>8</v>
      </c>
      <c r="J187">
        <v>4.8300000000000003E-2</v>
      </c>
      <c r="K187">
        <v>5.734</v>
      </c>
      <c r="L187">
        <v>2E-3</v>
      </c>
      <c r="M187">
        <v>8.5500000000000007E-2</v>
      </c>
      <c r="N187" t="s">
        <v>660</v>
      </c>
      <c r="O187">
        <v>30.094999999999999</v>
      </c>
      <c r="P187" t="s">
        <v>660</v>
      </c>
      <c r="AA187">
        <v>40.674351999999999</v>
      </c>
      <c r="AB187">
        <v>-85.830181999999994</v>
      </c>
      <c r="AC187">
        <v>7</v>
      </c>
      <c r="AD187">
        <v>11</v>
      </c>
      <c r="AE187">
        <v>2023</v>
      </c>
      <c r="AF187" t="b">
        <v>0</v>
      </c>
      <c r="AG187" s="19">
        <v>45118</v>
      </c>
    </row>
    <row r="188" spans="1:33" x14ac:dyDescent="0.25">
      <c r="A188" s="25">
        <v>10187</v>
      </c>
      <c r="B188" t="s">
        <v>204</v>
      </c>
      <c r="C188" t="s">
        <v>204</v>
      </c>
      <c r="D188" s="27">
        <v>2107</v>
      </c>
      <c r="E188" s="27">
        <v>7</v>
      </c>
      <c r="F188" s="27"/>
      <c r="G188" s="27"/>
      <c r="H188" t="s">
        <v>17</v>
      </c>
      <c r="I188" s="24" t="s">
        <v>8</v>
      </c>
      <c r="J188">
        <v>3.8600000000000002E-2</v>
      </c>
      <c r="K188">
        <v>3.899</v>
      </c>
      <c r="L188">
        <v>-8.0000000000000002E-3</v>
      </c>
      <c r="M188">
        <v>5.2249999999999998E-2</v>
      </c>
      <c r="N188" t="s">
        <v>660</v>
      </c>
      <c r="O188">
        <v>40.11</v>
      </c>
      <c r="P188" t="s">
        <v>660</v>
      </c>
      <c r="AA188">
        <v>40.689431999999996</v>
      </c>
      <c r="AB188">
        <v>-85.896206000000006</v>
      </c>
      <c r="AC188">
        <v>7</v>
      </c>
      <c r="AD188">
        <v>11</v>
      </c>
      <c r="AE188">
        <v>2023</v>
      </c>
      <c r="AF188" t="b">
        <v>0</v>
      </c>
      <c r="AG188" s="19">
        <v>45118</v>
      </c>
    </row>
    <row r="189" spans="1:33" x14ac:dyDescent="0.25">
      <c r="A189" s="25">
        <v>10188</v>
      </c>
      <c r="B189" t="s">
        <v>205</v>
      </c>
      <c r="C189" t="s">
        <v>205</v>
      </c>
      <c r="D189" s="27">
        <v>2108</v>
      </c>
      <c r="E189" s="27">
        <v>8</v>
      </c>
      <c r="F189" s="27"/>
      <c r="G189" s="27"/>
      <c r="H189" t="s">
        <v>17</v>
      </c>
      <c r="I189" s="24" t="s">
        <v>8</v>
      </c>
      <c r="J189">
        <v>1.4200000000000001E-2</v>
      </c>
      <c r="K189">
        <v>3.3860000000000001</v>
      </c>
      <c r="L189">
        <v>-4.0000000000000001E-3</v>
      </c>
      <c r="M189">
        <v>4.9000000000000002E-2</v>
      </c>
      <c r="N189" t="s">
        <v>660</v>
      </c>
      <c r="O189">
        <v>35.25</v>
      </c>
      <c r="P189" t="s">
        <v>660</v>
      </c>
      <c r="AA189">
        <v>40.694125999999997</v>
      </c>
      <c r="AB189">
        <v>-85.906412000000003</v>
      </c>
      <c r="AC189">
        <v>7</v>
      </c>
      <c r="AD189">
        <v>11</v>
      </c>
      <c r="AE189">
        <v>2023</v>
      </c>
      <c r="AF189" t="b">
        <v>0</v>
      </c>
      <c r="AG189" s="19">
        <v>45118</v>
      </c>
    </row>
    <row r="190" spans="1:33" x14ac:dyDescent="0.25">
      <c r="A190" s="25">
        <v>10189</v>
      </c>
      <c r="B190" t="s">
        <v>206</v>
      </c>
      <c r="C190" t="s">
        <v>206</v>
      </c>
      <c r="D190" s="27">
        <v>2109</v>
      </c>
      <c r="E190" s="27">
        <v>9</v>
      </c>
      <c r="F190" s="27"/>
      <c r="G190" s="27"/>
      <c r="H190" t="s">
        <v>17</v>
      </c>
      <c r="I190" s="24" t="s">
        <v>8</v>
      </c>
      <c r="J190">
        <v>3.1199999999999999E-2</v>
      </c>
      <c r="K190">
        <v>3.4590000000000001</v>
      </c>
      <c r="L190">
        <v>-1.2E-2</v>
      </c>
      <c r="M190">
        <v>3.9E-2</v>
      </c>
      <c r="N190" t="s">
        <v>660</v>
      </c>
      <c r="O190">
        <v>35.354999999999997</v>
      </c>
      <c r="P190" t="s">
        <v>660</v>
      </c>
      <c r="AA190">
        <v>40.703916</v>
      </c>
      <c r="AB190">
        <v>-85.928926000000004</v>
      </c>
      <c r="AC190">
        <v>7</v>
      </c>
      <c r="AD190">
        <v>11</v>
      </c>
      <c r="AE190">
        <v>2023</v>
      </c>
      <c r="AF190" t="b">
        <v>0</v>
      </c>
      <c r="AG190" s="19">
        <v>45118</v>
      </c>
    </row>
    <row r="191" spans="1:33" x14ac:dyDescent="0.25">
      <c r="A191" s="25">
        <v>10190</v>
      </c>
      <c r="B191" t="s">
        <v>207</v>
      </c>
      <c r="C191" t="s">
        <v>207</v>
      </c>
      <c r="D191" s="27">
        <v>2110</v>
      </c>
      <c r="E191" s="27">
        <v>10</v>
      </c>
      <c r="F191" s="27"/>
      <c r="G191" s="27"/>
      <c r="H191" t="s">
        <v>17</v>
      </c>
      <c r="I191" s="24" t="s">
        <v>8</v>
      </c>
      <c r="J191">
        <v>1.43E-2</v>
      </c>
      <c r="K191">
        <v>3.464</v>
      </c>
      <c r="L191">
        <v>-0.01</v>
      </c>
      <c r="M191">
        <v>3.9750000000000001E-2</v>
      </c>
      <c r="N191" t="s">
        <v>660</v>
      </c>
      <c r="O191">
        <v>36.89</v>
      </c>
      <c r="P191" t="s">
        <v>660</v>
      </c>
      <c r="AA191">
        <v>40.694209999999998</v>
      </c>
      <c r="AB191">
        <v>-85.918417000000005</v>
      </c>
      <c r="AC191">
        <v>7</v>
      </c>
      <c r="AD191">
        <v>11</v>
      </c>
      <c r="AE191">
        <v>2023</v>
      </c>
      <c r="AF191" t="b">
        <v>0</v>
      </c>
      <c r="AG191" s="19">
        <v>45118</v>
      </c>
    </row>
    <row r="192" spans="1:33" x14ac:dyDescent="0.25">
      <c r="A192" s="25">
        <v>10191</v>
      </c>
      <c r="B192" s="26" t="s">
        <v>208</v>
      </c>
      <c r="C192" s="26" t="s">
        <v>556</v>
      </c>
      <c r="D192" s="29" t="s">
        <v>510</v>
      </c>
      <c r="E192" s="29" t="str">
        <f t="shared" ref="E192:E207" si="5">RIGHT(D192,2)</f>
        <v>?</v>
      </c>
      <c r="F192" s="29"/>
      <c r="G192" s="29"/>
      <c r="H192" s="26" t="s">
        <v>18</v>
      </c>
      <c r="I192" s="70" t="s">
        <v>9</v>
      </c>
      <c r="J192" s="26">
        <v>4.2099999999999999E-2</v>
      </c>
      <c r="K192" s="26">
        <v>1.48</v>
      </c>
      <c r="L192" s="26">
        <v>-2E-3</v>
      </c>
      <c r="M192" s="26">
        <v>8.4750000000000006E-2</v>
      </c>
      <c r="N192" s="26">
        <v>3.0000000000000001E-3</v>
      </c>
      <c r="O192" s="26">
        <v>38.950000000000003</v>
      </c>
      <c r="P192" t="s">
        <v>660</v>
      </c>
      <c r="AA192">
        <v>40.808892</v>
      </c>
      <c r="AB192">
        <v>-86.794427999999996</v>
      </c>
      <c r="AC192">
        <v>7</v>
      </c>
      <c r="AD192">
        <v>13</v>
      </c>
      <c r="AE192">
        <v>2023</v>
      </c>
      <c r="AF192" t="b">
        <v>0</v>
      </c>
      <c r="AG192" s="19">
        <v>45120</v>
      </c>
    </row>
    <row r="193" spans="1:33" x14ac:dyDescent="0.25">
      <c r="A193" s="25">
        <v>10192</v>
      </c>
      <c r="B193" s="26" t="s">
        <v>209</v>
      </c>
      <c r="C193" s="26" t="s">
        <v>556</v>
      </c>
      <c r="D193" s="29" t="s">
        <v>510</v>
      </c>
      <c r="E193" s="29" t="str">
        <f t="shared" si="5"/>
        <v>?</v>
      </c>
      <c r="F193" s="29"/>
      <c r="G193" s="29"/>
      <c r="H193" s="26" t="s">
        <v>18</v>
      </c>
      <c r="I193" s="70" t="s">
        <v>9</v>
      </c>
      <c r="J193" s="26">
        <v>1.5599999999999999E-2</v>
      </c>
      <c r="K193" s="26">
        <v>0.51100000000000001</v>
      </c>
      <c r="L193" s="26">
        <v>-8.0000000000000002E-3</v>
      </c>
      <c r="M193" s="26">
        <v>0.11225</v>
      </c>
      <c r="N193" s="26">
        <v>2.5999999999999999E-2</v>
      </c>
      <c r="O193" s="26">
        <v>94.53</v>
      </c>
      <c r="P193" t="s">
        <v>660</v>
      </c>
      <c r="AA193">
        <v>40.823616000000001</v>
      </c>
      <c r="AB193">
        <v>-86.794668000000001</v>
      </c>
      <c r="AC193">
        <v>7</v>
      </c>
      <c r="AD193">
        <v>13</v>
      </c>
      <c r="AE193">
        <v>2023</v>
      </c>
      <c r="AF193" t="b">
        <v>0</v>
      </c>
      <c r="AG193" s="19">
        <v>45120</v>
      </c>
    </row>
    <row r="194" spans="1:33" x14ac:dyDescent="0.25">
      <c r="A194" s="25">
        <v>10193</v>
      </c>
      <c r="B194" s="26" t="s">
        <v>210</v>
      </c>
      <c r="C194" s="26" t="s">
        <v>556</v>
      </c>
      <c r="D194" s="29" t="s">
        <v>510</v>
      </c>
      <c r="E194" s="29" t="str">
        <f t="shared" si="5"/>
        <v>?</v>
      </c>
      <c r="F194" s="29"/>
      <c r="G194" s="29"/>
      <c r="H194" s="26" t="s">
        <v>18</v>
      </c>
      <c r="I194" s="70" t="s">
        <v>9</v>
      </c>
      <c r="J194" s="26">
        <v>4.6783999999999999</v>
      </c>
      <c r="K194" s="26">
        <v>0.04</v>
      </c>
      <c r="L194" s="26">
        <v>1.44</v>
      </c>
      <c r="M194" s="26">
        <v>36.991999999999997</v>
      </c>
      <c r="N194" s="26">
        <v>0.28699999999999998</v>
      </c>
      <c r="O194" s="26">
        <v>45.435000000000002</v>
      </c>
      <c r="P194" t="s">
        <v>660</v>
      </c>
      <c r="AA194">
        <v>40.843420000000002</v>
      </c>
      <c r="AB194">
        <v>-86.817578999999995</v>
      </c>
      <c r="AC194">
        <v>7</v>
      </c>
      <c r="AD194">
        <v>13</v>
      </c>
      <c r="AE194">
        <v>2023</v>
      </c>
      <c r="AF194" t="b">
        <v>0</v>
      </c>
      <c r="AG194" s="19">
        <v>45120</v>
      </c>
    </row>
    <row r="195" spans="1:33" x14ac:dyDescent="0.25">
      <c r="A195" s="25">
        <v>10194</v>
      </c>
      <c r="B195" s="26" t="s">
        <v>211</v>
      </c>
      <c r="C195" s="26" t="s">
        <v>557</v>
      </c>
      <c r="D195" s="29" t="s">
        <v>510</v>
      </c>
      <c r="E195" s="29" t="str">
        <f t="shared" si="5"/>
        <v>?</v>
      </c>
      <c r="F195" s="29"/>
      <c r="G195" s="29"/>
      <c r="H195" s="26" t="s">
        <v>508</v>
      </c>
      <c r="I195" s="70" t="s">
        <v>9</v>
      </c>
      <c r="J195" s="26">
        <v>4.8000000000000001E-2</v>
      </c>
      <c r="K195" s="26">
        <v>0.496</v>
      </c>
      <c r="L195" s="26">
        <v>-0.01</v>
      </c>
      <c r="M195" s="26">
        <v>7.1499999999999994E-2</v>
      </c>
      <c r="N195" s="26">
        <v>6.7000000000000004E-2</v>
      </c>
      <c r="O195" s="26">
        <v>66.625</v>
      </c>
      <c r="P195" t="s">
        <v>660</v>
      </c>
      <c r="AA195">
        <v>40.693818</v>
      </c>
      <c r="AB195">
        <v>-86.766985000000005</v>
      </c>
      <c r="AC195">
        <v>7</v>
      </c>
      <c r="AD195">
        <v>13</v>
      </c>
      <c r="AE195">
        <v>2023</v>
      </c>
      <c r="AF195" t="b">
        <v>0</v>
      </c>
      <c r="AG195" s="19">
        <v>45120</v>
      </c>
    </row>
    <row r="196" spans="1:33" x14ac:dyDescent="0.25">
      <c r="A196" s="25">
        <v>10195</v>
      </c>
      <c r="B196" s="26" t="s">
        <v>212</v>
      </c>
      <c r="C196" s="26" t="s">
        <v>557</v>
      </c>
      <c r="D196" s="29" t="s">
        <v>510</v>
      </c>
      <c r="E196" s="29" t="str">
        <f t="shared" si="5"/>
        <v>?</v>
      </c>
      <c r="F196" s="29"/>
      <c r="G196" s="29"/>
      <c r="H196" s="26" t="s">
        <v>508</v>
      </c>
      <c r="I196" s="70" t="s">
        <v>9</v>
      </c>
      <c r="J196" s="26">
        <v>9.4500000000000001E-2</v>
      </c>
      <c r="K196" s="26">
        <v>0.26100000000000001</v>
      </c>
      <c r="L196" s="26">
        <v>-5.0000000000000001E-3</v>
      </c>
      <c r="M196" s="26">
        <v>5.8500000000000003E-2</v>
      </c>
      <c r="N196" s="26">
        <v>7.3999999999999996E-2</v>
      </c>
      <c r="O196" s="26">
        <v>51.99</v>
      </c>
      <c r="P196" t="s">
        <v>660</v>
      </c>
      <c r="AA196">
        <v>40.666173999999998</v>
      </c>
      <c r="AB196">
        <v>-86.752939999999995</v>
      </c>
      <c r="AC196">
        <v>7</v>
      </c>
      <c r="AD196">
        <v>13</v>
      </c>
      <c r="AE196">
        <v>2023</v>
      </c>
      <c r="AF196" t="b">
        <v>0</v>
      </c>
      <c r="AG196" s="19">
        <v>45120</v>
      </c>
    </row>
    <row r="197" spans="1:33" x14ac:dyDescent="0.25">
      <c r="A197" s="25">
        <v>10196</v>
      </c>
      <c r="B197" s="26" t="s">
        <v>213</v>
      </c>
      <c r="C197" s="26" t="s">
        <v>557</v>
      </c>
      <c r="D197" s="29" t="s">
        <v>510</v>
      </c>
      <c r="E197" s="29" t="str">
        <f t="shared" si="5"/>
        <v>?</v>
      </c>
      <c r="F197" s="29"/>
      <c r="G197" s="29"/>
      <c r="H197" s="26" t="s">
        <v>508</v>
      </c>
      <c r="I197" s="70" t="s">
        <v>9</v>
      </c>
      <c r="J197" s="26">
        <v>0.1069</v>
      </c>
      <c r="K197" s="26">
        <v>0.253</v>
      </c>
      <c r="L197" s="26">
        <v>-1.2E-2</v>
      </c>
      <c r="M197" s="26">
        <v>8.5999999999999993E-2</v>
      </c>
      <c r="N197" s="26">
        <v>1.4E-2</v>
      </c>
      <c r="O197" s="26">
        <v>56.164999999999999</v>
      </c>
      <c r="P197" t="s">
        <v>660</v>
      </c>
      <c r="AA197">
        <v>40.680701999999997</v>
      </c>
      <c r="AB197">
        <v>-86.752009999999999</v>
      </c>
      <c r="AC197">
        <v>7</v>
      </c>
      <c r="AD197">
        <v>13</v>
      </c>
      <c r="AE197">
        <v>2023</v>
      </c>
      <c r="AF197" t="b">
        <v>0</v>
      </c>
      <c r="AG197" s="19">
        <v>45120</v>
      </c>
    </row>
    <row r="198" spans="1:33" x14ac:dyDescent="0.25">
      <c r="A198" s="25">
        <v>10197</v>
      </c>
      <c r="B198" t="s">
        <v>214</v>
      </c>
      <c r="C198" t="s">
        <v>557</v>
      </c>
      <c r="D198" s="27" t="s">
        <v>510</v>
      </c>
      <c r="E198" s="27" t="str">
        <f t="shared" si="5"/>
        <v>?</v>
      </c>
      <c r="F198" s="27"/>
      <c r="G198" s="27"/>
      <c r="H198" t="s">
        <v>508</v>
      </c>
      <c r="I198" s="24" t="s">
        <v>9</v>
      </c>
      <c r="J198">
        <v>7.3800000000000004E-2</v>
      </c>
      <c r="K198">
        <v>1.496</v>
      </c>
      <c r="L198">
        <v>-7.0000000000000001E-3</v>
      </c>
      <c r="N198" t="s">
        <v>660</v>
      </c>
      <c r="O198">
        <v>56.89</v>
      </c>
      <c r="P198" t="s">
        <v>660</v>
      </c>
      <c r="AA198">
        <v>40.730876000000002</v>
      </c>
      <c r="AB198">
        <v>-86.757884000000004</v>
      </c>
      <c r="AC198">
        <v>7</v>
      </c>
      <c r="AD198">
        <v>13</v>
      </c>
      <c r="AE198">
        <v>2023</v>
      </c>
      <c r="AF198" t="b">
        <v>0</v>
      </c>
      <c r="AG198" s="19">
        <v>45120</v>
      </c>
    </row>
    <row r="199" spans="1:33" x14ac:dyDescent="0.25">
      <c r="A199" s="25">
        <v>10198</v>
      </c>
      <c r="B199" t="s">
        <v>215</v>
      </c>
      <c r="C199" t="s">
        <v>557</v>
      </c>
      <c r="D199" s="27" t="s">
        <v>510</v>
      </c>
      <c r="E199" s="27" t="str">
        <f t="shared" si="5"/>
        <v>?</v>
      </c>
      <c r="F199" s="27"/>
      <c r="G199" s="27"/>
      <c r="H199" t="s">
        <v>508</v>
      </c>
      <c r="I199" s="24" t="s">
        <v>9</v>
      </c>
      <c r="J199">
        <v>7.51E-2</v>
      </c>
      <c r="K199">
        <v>1.571</v>
      </c>
      <c r="L199">
        <v>3.0000000000000001E-3</v>
      </c>
      <c r="M199">
        <v>7.5999999999999998E-2</v>
      </c>
      <c r="N199">
        <v>1.4E-2</v>
      </c>
      <c r="O199" t="s">
        <v>660</v>
      </c>
      <c r="P199" t="s">
        <v>660</v>
      </c>
      <c r="AA199">
        <v>40.745742</v>
      </c>
      <c r="AB199">
        <v>-86.757273999999995</v>
      </c>
      <c r="AC199">
        <v>7</v>
      </c>
      <c r="AD199">
        <v>13</v>
      </c>
      <c r="AE199">
        <v>2023</v>
      </c>
      <c r="AF199" t="b">
        <v>0</v>
      </c>
      <c r="AG199" s="19">
        <v>45120</v>
      </c>
    </row>
    <row r="200" spans="1:33" x14ac:dyDescent="0.25">
      <c r="A200" s="25">
        <v>10199</v>
      </c>
      <c r="B200" t="s">
        <v>216</v>
      </c>
      <c r="C200" t="s">
        <v>558</v>
      </c>
      <c r="D200" s="27" t="s">
        <v>510</v>
      </c>
      <c r="E200" s="27" t="str">
        <f t="shared" si="5"/>
        <v>?</v>
      </c>
      <c r="F200" s="27"/>
      <c r="G200" s="27"/>
      <c r="H200" t="s">
        <v>18</v>
      </c>
      <c r="I200" s="24" t="s">
        <v>9</v>
      </c>
      <c r="J200">
        <v>5.4350000000000002E-2</v>
      </c>
      <c r="K200">
        <v>1.093</v>
      </c>
      <c r="L200">
        <v>0.158</v>
      </c>
      <c r="N200" t="s">
        <v>660</v>
      </c>
      <c r="O200">
        <v>23.954999999999998</v>
      </c>
      <c r="P200" t="s">
        <v>660</v>
      </c>
      <c r="AA200">
        <v>40.808793000000001</v>
      </c>
      <c r="AB200">
        <v>-86.794627000000006</v>
      </c>
      <c r="AC200">
        <v>7</v>
      </c>
      <c r="AD200">
        <v>18</v>
      </c>
      <c r="AE200">
        <v>2023</v>
      </c>
      <c r="AF200" t="b">
        <v>0</v>
      </c>
      <c r="AG200" s="19">
        <v>45125</v>
      </c>
    </row>
    <row r="201" spans="1:33" x14ac:dyDescent="0.25">
      <c r="A201" s="25">
        <v>10200</v>
      </c>
      <c r="B201" t="s">
        <v>217</v>
      </c>
      <c r="C201" t="s">
        <v>558</v>
      </c>
      <c r="D201" s="27" t="s">
        <v>510</v>
      </c>
      <c r="E201" s="27" t="str">
        <f t="shared" si="5"/>
        <v>?</v>
      </c>
      <c r="F201" s="27"/>
      <c r="G201" s="27"/>
      <c r="H201" t="s">
        <v>18</v>
      </c>
      <c r="I201" s="24" t="s">
        <v>9</v>
      </c>
      <c r="J201">
        <v>0.1404</v>
      </c>
      <c r="K201">
        <v>0.16600000000000001</v>
      </c>
      <c r="L201">
        <v>0.22800000000000001</v>
      </c>
      <c r="N201" t="s">
        <v>660</v>
      </c>
      <c r="O201">
        <v>66.373333333333306</v>
      </c>
      <c r="P201" t="s">
        <v>660</v>
      </c>
      <c r="AA201">
        <v>40.823822</v>
      </c>
      <c r="AB201">
        <v>-86.794567000000001</v>
      </c>
      <c r="AC201">
        <v>7</v>
      </c>
      <c r="AD201">
        <v>18</v>
      </c>
      <c r="AE201">
        <v>2023</v>
      </c>
      <c r="AF201" t="b">
        <v>0</v>
      </c>
      <c r="AG201" s="19">
        <v>45125</v>
      </c>
    </row>
    <row r="202" spans="1:33" x14ac:dyDescent="0.25">
      <c r="A202" s="25">
        <v>10201</v>
      </c>
      <c r="B202" t="s">
        <v>218</v>
      </c>
      <c r="C202" t="s">
        <v>558</v>
      </c>
      <c r="D202" s="27" t="s">
        <v>510</v>
      </c>
      <c r="E202" s="27" t="str">
        <f t="shared" si="5"/>
        <v>?</v>
      </c>
      <c r="F202" s="27"/>
      <c r="G202" s="27"/>
      <c r="H202" t="s">
        <v>18</v>
      </c>
      <c r="I202" s="24" t="s">
        <v>9</v>
      </c>
      <c r="J202">
        <v>0.87729999999999997</v>
      </c>
      <c r="K202">
        <v>1.0169999999999999</v>
      </c>
      <c r="L202">
        <v>0.625</v>
      </c>
      <c r="M202">
        <v>0.77600000000000002</v>
      </c>
      <c r="N202" t="s">
        <v>660</v>
      </c>
      <c r="O202">
        <v>32.31</v>
      </c>
      <c r="P202" t="s">
        <v>660</v>
      </c>
      <c r="AA202">
        <v>40.843417000000002</v>
      </c>
      <c r="AB202">
        <v>-86.817468000000005</v>
      </c>
      <c r="AC202">
        <v>7</v>
      </c>
      <c r="AD202">
        <v>18</v>
      </c>
      <c r="AE202">
        <v>2023</v>
      </c>
      <c r="AF202" t="b">
        <v>0</v>
      </c>
      <c r="AG202" s="19">
        <v>45125</v>
      </c>
    </row>
    <row r="203" spans="1:33" x14ac:dyDescent="0.25">
      <c r="A203" s="25">
        <v>10202</v>
      </c>
      <c r="B203" t="s">
        <v>219</v>
      </c>
      <c r="C203" t="s">
        <v>559</v>
      </c>
      <c r="D203" s="27" t="s">
        <v>510</v>
      </c>
      <c r="E203" s="27" t="str">
        <f t="shared" si="5"/>
        <v>?</v>
      </c>
      <c r="F203" s="27"/>
      <c r="G203" s="27"/>
      <c r="H203" t="s">
        <v>508</v>
      </c>
      <c r="I203" s="24" t="s">
        <v>9</v>
      </c>
      <c r="J203">
        <v>7.9000000000000001E-2</v>
      </c>
      <c r="K203">
        <v>0.63200000000000001</v>
      </c>
      <c r="L203">
        <v>-8.9999999999999993E-3</v>
      </c>
      <c r="M203">
        <v>5.5E-2</v>
      </c>
      <c r="N203" t="s">
        <v>660</v>
      </c>
      <c r="O203">
        <v>30.67</v>
      </c>
      <c r="P203" t="s">
        <v>660</v>
      </c>
      <c r="AA203">
        <v>40.693662000000003</v>
      </c>
      <c r="AB203">
        <v>-86.766958000000002</v>
      </c>
      <c r="AC203">
        <v>7</v>
      </c>
      <c r="AD203">
        <v>18</v>
      </c>
      <c r="AE203">
        <v>2023</v>
      </c>
      <c r="AF203" t="b">
        <v>0</v>
      </c>
      <c r="AG203" s="19">
        <v>45125</v>
      </c>
    </row>
    <row r="204" spans="1:33" x14ac:dyDescent="0.25">
      <c r="A204" s="25">
        <v>10203</v>
      </c>
      <c r="B204" t="s">
        <v>220</v>
      </c>
      <c r="C204" t="s">
        <v>559</v>
      </c>
      <c r="D204" s="27" t="s">
        <v>510</v>
      </c>
      <c r="E204" s="27" t="str">
        <f t="shared" si="5"/>
        <v>?</v>
      </c>
      <c r="F204" s="27"/>
      <c r="G204" s="27"/>
      <c r="H204" t="s">
        <v>508</v>
      </c>
      <c r="I204" s="24" t="s">
        <v>9</v>
      </c>
      <c r="J204">
        <v>2.5700000000000001E-2</v>
      </c>
      <c r="K204">
        <v>0.21199999999999999</v>
      </c>
      <c r="L204">
        <v>-1.0999999999999999E-2</v>
      </c>
      <c r="M204">
        <v>6.2E-2</v>
      </c>
      <c r="N204" t="s">
        <v>660</v>
      </c>
      <c r="O204">
        <v>71</v>
      </c>
      <c r="P204" t="s">
        <v>660</v>
      </c>
      <c r="AA204">
        <v>40.667366000000001</v>
      </c>
      <c r="AB204">
        <v>-86.752371999999994</v>
      </c>
      <c r="AC204">
        <v>7</v>
      </c>
      <c r="AD204">
        <v>18</v>
      </c>
      <c r="AE204">
        <v>2023</v>
      </c>
      <c r="AF204" t="b">
        <v>0</v>
      </c>
      <c r="AG204" s="19">
        <v>45125</v>
      </c>
    </row>
    <row r="205" spans="1:33" x14ac:dyDescent="0.25">
      <c r="A205" s="25">
        <v>10204</v>
      </c>
      <c r="B205" t="s">
        <v>221</v>
      </c>
      <c r="C205" t="s">
        <v>559</v>
      </c>
      <c r="D205" s="27" t="s">
        <v>510</v>
      </c>
      <c r="E205" s="27" t="str">
        <f t="shared" si="5"/>
        <v>?</v>
      </c>
      <c r="F205" s="27"/>
      <c r="G205" s="27"/>
      <c r="H205" t="s">
        <v>508</v>
      </c>
      <c r="I205" s="24" t="s">
        <v>9</v>
      </c>
      <c r="J205">
        <v>2.9100000000000001E-2</v>
      </c>
      <c r="K205">
        <v>0.41099999999999998</v>
      </c>
      <c r="L205">
        <v>-8.9999999999999993E-3</v>
      </c>
      <c r="M205">
        <v>5.5500000000000001E-2</v>
      </c>
      <c r="N205" t="s">
        <v>660</v>
      </c>
      <c r="O205">
        <v>57.476666666666702</v>
      </c>
      <c r="P205" t="s">
        <v>660</v>
      </c>
      <c r="AA205">
        <v>40.680768999999998</v>
      </c>
      <c r="AB205">
        <v>-86.752054999999999</v>
      </c>
      <c r="AC205">
        <v>7</v>
      </c>
      <c r="AD205">
        <v>18</v>
      </c>
      <c r="AE205">
        <v>2023</v>
      </c>
      <c r="AF205" t="b">
        <v>0</v>
      </c>
      <c r="AG205" s="19">
        <v>45125</v>
      </c>
    </row>
    <row r="206" spans="1:33" x14ac:dyDescent="0.25">
      <c r="A206" s="25">
        <v>10205</v>
      </c>
      <c r="B206" t="s">
        <v>222</v>
      </c>
      <c r="C206" t="s">
        <v>559</v>
      </c>
      <c r="D206" s="27" t="s">
        <v>510</v>
      </c>
      <c r="E206" s="27" t="str">
        <f t="shared" si="5"/>
        <v>?</v>
      </c>
      <c r="F206" s="27"/>
      <c r="G206" s="27"/>
      <c r="H206" t="s">
        <v>508</v>
      </c>
      <c r="I206" s="24" t="s">
        <v>9</v>
      </c>
      <c r="J206">
        <v>0.1011</v>
      </c>
      <c r="K206">
        <v>0.69899999999999995</v>
      </c>
      <c r="L206">
        <v>0.23400000000000001</v>
      </c>
      <c r="N206">
        <v>3.9E-2</v>
      </c>
      <c r="O206">
        <v>67.114999999999995</v>
      </c>
      <c r="P206" t="s">
        <v>660</v>
      </c>
      <c r="AA206">
        <v>40.730885000000001</v>
      </c>
      <c r="AB206">
        <v>-86.757958000000002</v>
      </c>
      <c r="AC206">
        <v>7</v>
      </c>
      <c r="AD206">
        <v>18</v>
      </c>
      <c r="AE206">
        <v>2023</v>
      </c>
      <c r="AF206" t="b">
        <v>0</v>
      </c>
      <c r="AG206" s="19">
        <v>45125</v>
      </c>
    </row>
    <row r="207" spans="1:33" x14ac:dyDescent="0.25">
      <c r="A207" s="25">
        <v>10206</v>
      </c>
      <c r="B207" t="s">
        <v>223</v>
      </c>
      <c r="C207" t="s">
        <v>559</v>
      </c>
      <c r="D207" s="27" t="s">
        <v>510</v>
      </c>
      <c r="E207" s="27" t="str">
        <f t="shared" si="5"/>
        <v>?</v>
      </c>
      <c r="F207" s="27"/>
      <c r="G207" s="27"/>
      <c r="H207" t="s">
        <v>508</v>
      </c>
      <c r="I207" s="24" t="s">
        <v>9</v>
      </c>
      <c r="J207">
        <v>3.4200000000000001E-2</v>
      </c>
      <c r="K207">
        <v>0.80400000000000005</v>
      </c>
      <c r="L207">
        <v>-7.0000000000000001E-3</v>
      </c>
      <c r="M207">
        <v>8.2500000000000004E-2</v>
      </c>
      <c r="N207" t="s">
        <v>660</v>
      </c>
      <c r="O207">
        <v>49.23</v>
      </c>
      <c r="P207" t="s">
        <v>660</v>
      </c>
      <c r="AA207">
        <v>40.745497999999998</v>
      </c>
      <c r="AB207">
        <v>-86.757238999999998</v>
      </c>
      <c r="AC207">
        <v>7</v>
      </c>
      <c r="AD207">
        <v>18</v>
      </c>
      <c r="AE207">
        <v>2023</v>
      </c>
      <c r="AF207" t="b">
        <v>0</v>
      </c>
      <c r="AG207" s="19">
        <v>45125</v>
      </c>
    </row>
    <row r="208" spans="1:33" x14ac:dyDescent="0.25">
      <c r="A208" s="25">
        <v>10207</v>
      </c>
      <c r="B208" s="67" t="s">
        <v>224</v>
      </c>
      <c r="C208" s="67" t="s">
        <v>224</v>
      </c>
      <c r="D208" s="68">
        <v>3101</v>
      </c>
      <c r="E208" s="68">
        <v>1</v>
      </c>
      <c r="F208" s="68"/>
      <c r="G208" s="68"/>
      <c r="H208" s="67" t="s">
        <v>19</v>
      </c>
      <c r="I208" s="69" t="s">
        <v>8</v>
      </c>
      <c r="J208" s="67">
        <v>4.7500000000000001E-2</v>
      </c>
      <c r="K208" s="67">
        <v>2.71</v>
      </c>
      <c r="L208" s="67">
        <v>-0.01</v>
      </c>
      <c r="M208" s="67">
        <v>7.4999999999999997E-3</v>
      </c>
      <c r="N208" s="67">
        <v>0.159</v>
      </c>
      <c r="O208" s="67">
        <v>23.62</v>
      </c>
      <c r="P208" t="s">
        <v>660</v>
      </c>
      <c r="AA208">
        <v>40.772184000000003</v>
      </c>
      <c r="AB208">
        <v>-85.643702000000005</v>
      </c>
      <c r="AC208">
        <v>7</v>
      </c>
      <c r="AD208">
        <v>21</v>
      </c>
      <c r="AE208">
        <v>2023</v>
      </c>
      <c r="AF208" t="b">
        <v>0</v>
      </c>
      <c r="AG208" s="19">
        <v>45128</v>
      </c>
    </row>
    <row r="209" spans="1:33" x14ac:dyDescent="0.25">
      <c r="A209" s="25">
        <v>10208</v>
      </c>
      <c r="B209" s="67" t="s">
        <v>225</v>
      </c>
      <c r="C209" s="67" t="s">
        <v>225</v>
      </c>
      <c r="D209" s="68">
        <v>3102</v>
      </c>
      <c r="E209" s="68">
        <v>2</v>
      </c>
      <c r="F209" s="68"/>
      <c r="G209" s="68"/>
      <c r="H209" s="67" t="s">
        <v>19</v>
      </c>
      <c r="I209" s="69" t="s">
        <v>8</v>
      </c>
      <c r="J209" s="67">
        <v>4.07E-2</v>
      </c>
      <c r="K209" s="67">
        <v>2.613</v>
      </c>
      <c r="L209" s="67">
        <v>-0.01</v>
      </c>
      <c r="M209" s="67">
        <v>1.0500000000000001E-2</v>
      </c>
      <c r="N209" s="67">
        <v>0.125</v>
      </c>
      <c r="O209" s="67">
        <v>25.105</v>
      </c>
      <c r="P209" t="s">
        <v>660</v>
      </c>
      <c r="AA209">
        <v>40.770507000000002</v>
      </c>
      <c r="AB209">
        <v>-85.648168999999996</v>
      </c>
      <c r="AC209">
        <v>7</v>
      </c>
      <c r="AD209">
        <v>21</v>
      </c>
      <c r="AE209">
        <v>2023</v>
      </c>
      <c r="AF209" t="b">
        <v>0</v>
      </c>
      <c r="AG209" s="19">
        <v>45128</v>
      </c>
    </row>
    <row r="210" spans="1:33" x14ac:dyDescent="0.25">
      <c r="A210" s="25">
        <v>10209</v>
      </c>
      <c r="B210" s="67" t="s">
        <v>226</v>
      </c>
      <c r="C210" s="67" t="s">
        <v>226</v>
      </c>
      <c r="D210" s="68">
        <v>3103</v>
      </c>
      <c r="E210" s="68">
        <v>3</v>
      </c>
      <c r="F210" s="68"/>
      <c r="G210" s="68"/>
      <c r="H210" s="67" t="s">
        <v>19</v>
      </c>
      <c r="I210" s="69" t="s">
        <v>8</v>
      </c>
      <c r="J210" s="67">
        <v>2.4299999999999999E-2</v>
      </c>
      <c r="K210" s="67">
        <v>2.794</v>
      </c>
      <c r="L210" s="67">
        <v>-1.0999999999999999E-2</v>
      </c>
      <c r="M210" s="67">
        <v>0.04</v>
      </c>
      <c r="N210" s="67">
        <v>7.0000000000000007E-2</v>
      </c>
      <c r="O210" s="67">
        <v>19.225000000000001</v>
      </c>
      <c r="P210" t="s">
        <v>660</v>
      </c>
      <c r="AA210">
        <v>40.781067</v>
      </c>
      <c r="AB210">
        <v>-85.644577999999996</v>
      </c>
      <c r="AC210">
        <v>7</v>
      </c>
      <c r="AD210">
        <v>21</v>
      </c>
      <c r="AE210">
        <v>2023</v>
      </c>
      <c r="AF210" t="b">
        <v>0</v>
      </c>
      <c r="AG210" s="19">
        <v>45128</v>
      </c>
    </row>
    <row r="211" spans="1:33" x14ac:dyDescent="0.25">
      <c r="A211" s="25">
        <v>10210</v>
      </c>
      <c r="B211" s="67" t="s">
        <v>227</v>
      </c>
      <c r="C211" s="67" t="s">
        <v>227</v>
      </c>
      <c r="D211" s="68">
        <v>3104</v>
      </c>
      <c r="E211" s="68">
        <v>4</v>
      </c>
      <c r="F211" s="68"/>
      <c r="G211" s="68"/>
      <c r="H211" s="67" t="s">
        <v>19</v>
      </c>
      <c r="I211" s="69" t="s">
        <v>8</v>
      </c>
      <c r="J211" s="67">
        <v>5.2600000000000001E-2</v>
      </c>
      <c r="K211" s="67">
        <v>2.7570000000000001</v>
      </c>
      <c r="L211" s="67">
        <v>-8.9999999999999993E-3</v>
      </c>
      <c r="M211" s="67">
        <v>8.3000000000000004E-2</v>
      </c>
      <c r="N211" s="67">
        <v>0.154</v>
      </c>
      <c r="O211" s="67">
        <v>29.59</v>
      </c>
      <c r="P211" t="s">
        <v>660</v>
      </c>
      <c r="AA211">
        <v>40.784196999999999</v>
      </c>
      <c r="AB211">
        <v>-85.637713000000005</v>
      </c>
      <c r="AC211">
        <v>7</v>
      </c>
      <c r="AD211">
        <v>21</v>
      </c>
      <c r="AE211">
        <v>2023</v>
      </c>
      <c r="AF211" t="b">
        <v>0</v>
      </c>
      <c r="AG211" s="19">
        <v>45128</v>
      </c>
    </row>
    <row r="212" spans="1:33" x14ac:dyDescent="0.25">
      <c r="A212" s="25">
        <v>10211</v>
      </c>
      <c r="B212" s="67" t="s">
        <v>228</v>
      </c>
      <c r="C212" s="67" t="s">
        <v>228</v>
      </c>
      <c r="D212" s="68">
        <v>3105</v>
      </c>
      <c r="E212" s="68">
        <v>5</v>
      </c>
      <c r="F212" s="68"/>
      <c r="G212" s="68"/>
      <c r="H212" s="67" t="s">
        <v>19</v>
      </c>
      <c r="I212" s="69" t="s">
        <v>8</v>
      </c>
      <c r="J212" s="67">
        <v>3.7400000000000003E-2</v>
      </c>
      <c r="K212" s="67">
        <v>2.9260000000000002</v>
      </c>
      <c r="L212" s="67">
        <v>-0.01</v>
      </c>
      <c r="M212" s="67">
        <v>2.7E-2</v>
      </c>
      <c r="N212" s="67">
        <v>0.28499999999999998</v>
      </c>
      <c r="O212" s="67">
        <v>19.024999999999999</v>
      </c>
      <c r="P212" t="s">
        <v>660</v>
      </c>
      <c r="AA212">
        <v>40.775148999999999</v>
      </c>
      <c r="AB212">
        <v>-85.623649999999998</v>
      </c>
      <c r="AC212">
        <v>7</v>
      </c>
      <c r="AD212">
        <v>21</v>
      </c>
      <c r="AE212">
        <v>2023</v>
      </c>
      <c r="AF212" t="b">
        <v>0</v>
      </c>
      <c r="AG212" s="19">
        <v>45128</v>
      </c>
    </row>
    <row r="213" spans="1:33" x14ac:dyDescent="0.25">
      <c r="A213" s="25">
        <v>10212</v>
      </c>
      <c r="B213" s="67" t="s">
        <v>229</v>
      </c>
      <c r="C213" s="67" t="s">
        <v>229</v>
      </c>
      <c r="D213" s="68">
        <v>3106</v>
      </c>
      <c r="E213" s="68">
        <v>6</v>
      </c>
      <c r="F213" s="68"/>
      <c r="G213" s="68"/>
      <c r="H213" s="67" t="s">
        <v>19</v>
      </c>
      <c r="I213" s="69" t="s">
        <v>8</v>
      </c>
      <c r="J213" s="67">
        <v>4.36E-2</v>
      </c>
      <c r="K213" s="67">
        <v>2.887</v>
      </c>
      <c r="L213" s="67">
        <v>-1.2999999999999999E-2</v>
      </c>
      <c r="M213" s="67">
        <v>4.4999999999999998E-2</v>
      </c>
      <c r="N213" s="67">
        <v>0.17100000000000001</v>
      </c>
      <c r="O213" s="67">
        <v>25.73</v>
      </c>
      <c r="P213" t="s">
        <v>660</v>
      </c>
      <c r="AA213">
        <v>40.775530000000003</v>
      </c>
      <c r="AB213">
        <v>-85.606425000000002</v>
      </c>
      <c r="AC213">
        <v>7</v>
      </c>
      <c r="AD213">
        <v>21</v>
      </c>
      <c r="AE213">
        <v>2023</v>
      </c>
      <c r="AF213" t="b">
        <v>0</v>
      </c>
      <c r="AG213" s="19">
        <v>45128</v>
      </c>
    </row>
    <row r="214" spans="1:33" x14ac:dyDescent="0.25">
      <c r="A214" s="25">
        <v>10213</v>
      </c>
      <c r="B214" s="67" t="s">
        <v>230</v>
      </c>
      <c r="C214" s="67" t="s">
        <v>230</v>
      </c>
      <c r="D214" s="68">
        <v>3107</v>
      </c>
      <c r="E214" s="68">
        <v>7</v>
      </c>
      <c r="F214" s="68"/>
      <c r="G214" s="68"/>
      <c r="H214" s="67" t="s">
        <v>19</v>
      </c>
      <c r="I214" s="69" t="s">
        <v>8</v>
      </c>
      <c r="J214" s="67">
        <v>0.1142</v>
      </c>
      <c r="K214" s="67">
        <v>1.3520000000000001</v>
      </c>
      <c r="L214" s="67">
        <v>0.247</v>
      </c>
      <c r="M214" s="67">
        <v>8.0750000000000002E-2</v>
      </c>
      <c r="N214" s="67">
        <v>0.11</v>
      </c>
      <c r="O214" s="67">
        <v>29.715</v>
      </c>
      <c r="P214" t="s">
        <v>660</v>
      </c>
      <c r="AA214">
        <v>40.775835999999998</v>
      </c>
      <c r="AB214">
        <v>-85.579385000000002</v>
      </c>
      <c r="AC214">
        <v>7</v>
      </c>
      <c r="AD214">
        <v>21</v>
      </c>
      <c r="AE214">
        <v>2023</v>
      </c>
      <c r="AF214" t="b">
        <v>0</v>
      </c>
      <c r="AG214" s="19">
        <v>45128</v>
      </c>
    </row>
    <row r="215" spans="1:33" x14ac:dyDescent="0.25">
      <c r="A215" s="25">
        <v>10214</v>
      </c>
      <c r="B215" s="67" t="s">
        <v>231</v>
      </c>
      <c r="C215" s="67" t="s">
        <v>231</v>
      </c>
      <c r="D215" s="68">
        <v>3108</v>
      </c>
      <c r="E215" s="68">
        <v>8</v>
      </c>
      <c r="F215" s="68"/>
      <c r="G215" s="68"/>
      <c r="H215" s="67" t="s">
        <v>19</v>
      </c>
      <c r="I215" s="69" t="s">
        <v>8</v>
      </c>
      <c r="J215" s="67">
        <v>0.1517</v>
      </c>
      <c r="K215" s="67">
        <v>2.3079999999999998</v>
      </c>
      <c r="L215" s="67">
        <v>0.27</v>
      </c>
      <c r="M215" s="67">
        <v>4.9000000000000002E-2</v>
      </c>
      <c r="N215" s="67">
        <v>0.314</v>
      </c>
      <c r="O215" s="67">
        <v>24.864999999999998</v>
      </c>
      <c r="P215" t="s">
        <v>660</v>
      </c>
      <c r="AA215">
        <v>40.766466000000001</v>
      </c>
      <c r="AB215">
        <v>-85.597955999999996</v>
      </c>
      <c r="AC215">
        <v>7</v>
      </c>
      <c r="AD215">
        <v>21</v>
      </c>
      <c r="AE215">
        <v>2023</v>
      </c>
      <c r="AF215" t="b">
        <v>0</v>
      </c>
      <c r="AG215" s="19">
        <v>45128</v>
      </c>
    </row>
    <row r="216" spans="1:33" x14ac:dyDescent="0.25">
      <c r="A216" s="25">
        <v>10215</v>
      </c>
      <c r="B216" s="67" t="s">
        <v>232</v>
      </c>
      <c r="C216" s="67" t="s">
        <v>232</v>
      </c>
      <c r="D216" s="68">
        <v>3109</v>
      </c>
      <c r="E216" s="68">
        <v>9</v>
      </c>
      <c r="F216" s="68"/>
      <c r="G216" s="68"/>
      <c r="H216" s="67" t="s">
        <v>19</v>
      </c>
      <c r="I216" s="69" t="s">
        <v>8</v>
      </c>
      <c r="J216" s="67">
        <v>9.9400000000000002E-2</v>
      </c>
      <c r="K216" s="67">
        <v>2.976</v>
      </c>
      <c r="L216" s="67">
        <v>0.40899999999999997</v>
      </c>
      <c r="M216" s="67">
        <v>4.4499999999999998E-2</v>
      </c>
      <c r="N216" s="67">
        <v>0.33400000000000002</v>
      </c>
      <c r="O216" s="67">
        <v>21.274999999999999</v>
      </c>
      <c r="P216" t="s">
        <v>660</v>
      </c>
      <c r="AA216">
        <v>40.756110999999997</v>
      </c>
      <c r="AB216">
        <v>-85.595219999999998</v>
      </c>
      <c r="AC216">
        <v>7</v>
      </c>
      <c r="AD216">
        <v>21</v>
      </c>
      <c r="AE216">
        <v>2023</v>
      </c>
      <c r="AF216" t="b">
        <v>0</v>
      </c>
      <c r="AG216" s="19">
        <v>45128</v>
      </c>
    </row>
    <row r="217" spans="1:33" x14ac:dyDescent="0.25">
      <c r="A217" s="25">
        <v>10216</v>
      </c>
      <c r="B217" s="67" t="s">
        <v>233</v>
      </c>
      <c r="C217" s="67" t="s">
        <v>233</v>
      </c>
      <c r="D217" s="68">
        <v>3110</v>
      </c>
      <c r="E217" s="68">
        <v>10</v>
      </c>
      <c r="F217" s="68"/>
      <c r="G217" s="68"/>
      <c r="H217" s="67" t="s">
        <v>19</v>
      </c>
      <c r="I217" s="69" t="s">
        <v>8</v>
      </c>
      <c r="J217" s="67">
        <v>0.13639999999999999</v>
      </c>
      <c r="K217" s="67">
        <v>4.069</v>
      </c>
      <c r="L217" s="67">
        <v>0.30399999999999999</v>
      </c>
      <c r="M217" s="67">
        <v>5.5E-2</v>
      </c>
      <c r="N217" s="67">
        <v>0.38100000000000001</v>
      </c>
      <c r="O217" s="67">
        <v>19.739999999999998</v>
      </c>
      <c r="P217" t="s">
        <v>660</v>
      </c>
      <c r="AA217">
        <v>40.756017</v>
      </c>
      <c r="AB217">
        <v>-85.581188999999995</v>
      </c>
      <c r="AC217">
        <v>7</v>
      </c>
      <c r="AD217">
        <v>21</v>
      </c>
      <c r="AE217">
        <v>2023</v>
      </c>
      <c r="AF217" t="b">
        <v>0</v>
      </c>
      <c r="AG217" s="19">
        <v>45128</v>
      </c>
    </row>
    <row r="218" spans="1:33" x14ac:dyDescent="0.25">
      <c r="A218" s="25">
        <v>10217</v>
      </c>
      <c r="B218" s="67" t="s">
        <v>234</v>
      </c>
      <c r="C218" s="67" t="s">
        <v>234</v>
      </c>
      <c r="D218" s="68">
        <v>3111</v>
      </c>
      <c r="E218" s="68">
        <v>11</v>
      </c>
      <c r="F218" s="68"/>
      <c r="G218" s="68"/>
      <c r="H218" s="67" t="s">
        <v>19</v>
      </c>
      <c r="I218" s="69" t="s">
        <v>8</v>
      </c>
      <c r="J218" s="67">
        <v>3.3099999999999997E-2</v>
      </c>
      <c r="K218" s="67">
        <v>4.2089999999999996</v>
      </c>
      <c r="L218" s="67">
        <v>-8.0000000000000002E-3</v>
      </c>
      <c r="M218" s="67">
        <v>8.4000000000000005E-2</v>
      </c>
      <c r="N218" s="67">
        <v>0.19500000000000001</v>
      </c>
      <c r="O218" s="67">
        <v>46.255000000000003</v>
      </c>
      <c r="P218" t="s">
        <v>660</v>
      </c>
      <c r="AA218">
        <v>40.74494</v>
      </c>
      <c r="AB218">
        <v>-85.569293999999999</v>
      </c>
      <c r="AC218">
        <v>7</v>
      </c>
      <c r="AD218">
        <v>21</v>
      </c>
      <c r="AE218">
        <v>2023</v>
      </c>
      <c r="AF218" t="b">
        <v>0</v>
      </c>
      <c r="AG218" s="19">
        <v>45128</v>
      </c>
    </row>
    <row r="219" spans="1:33" x14ac:dyDescent="0.25">
      <c r="A219" s="25">
        <v>10218</v>
      </c>
      <c r="B219" t="s">
        <v>235</v>
      </c>
      <c r="C219" t="s">
        <v>235</v>
      </c>
      <c r="D219" s="27">
        <v>3112</v>
      </c>
      <c r="E219" s="27">
        <v>12</v>
      </c>
      <c r="F219" s="27"/>
      <c r="G219" s="27"/>
      <c r="H219" t="s">
        <v>19</v>
      </c>
      <c r="I219" s="24" t="s">
        <v>8</v>
      </c>
      <c r="J219">
        <v>0.2361</v>
      </c>
      <c r="K219">
        <v>3.129</v>
      </c>
      <c r="L219">
        <v>0.39100000000000001</v>
      </c>
      <c r="N219">
        <v>0.35499999999999998</v>
      </c>
      <c r="O219">
        <v>37.744999999999997</v>
      </c>
      <c r="P219" t="s">
        <v>660</v>
      </c>
      <c r="AA219">
        <v>40.747396000000002</v>
      </c>
      <c r="AB219">
        <v>-85.549599000000001</v>
      </c>
      <c r="AC219">
        <v>7</v>
      </c>
      <c r="AD219">
        <v>21</v>
      </c>
      <c r="AE219">
        <v>2023</v>
      </c>
      <c r="AF219" t="b">
        <v>0</v>
      </c>
      <c r="AG219" s="19">
        <v>45128</v>
      </c>
    </row>
    <row r="220" spans="1:33" x14ac:dyDescent="0.25">
      <c r="A220" s="25">
        <v>10219</v>
      </c>
      <c r="B220" s="67" t="s">
        <v>236</v>
      </c>
      <c r="C220" s="67" t="s">
        <v>236</v>
      </c>
      <c r="D220" s="68">
        <v>3113</v>
      </c>
      <c r="E220" s="68">
        <v>13</v>
      </c>
      <c r="F220" s="68"/>
      <c r="G220" s="68"/>
      <c r="H220" s="67" t="s">
        <v>19</v>
      </c>
      <c r="I220" s="69" t="s">
        <v>8</v>
      </c>
      <c r="J220" s="67">
        <v>5.5800000000000002E-2</v>
      </c>
      <c r="K220" s="67">
        <v>2.68</v>
      </c>
      <c r="L220" s="67">
        <v>0.34</v>
      </c>
      <c r="M220" s="67">
        <v>4.2000000000000003E-2</v>
      </c>
      <c r="N220" s="67">
        <v>0.34699999999999998</v>
      </c>
      <c r="O220" s="67">
        <v>23.204999999999998</v>
      </c>
      <c r="P220" t="s">
        <v>660</v>
      </c>
      <c r="AA220">
        <v>40.780465</v>
      </c>
      <c r="AB220">
        <v>-85.637153999999995</v>
      </c>
      <c r="AC220">
        <v>7</v>
      </c>
      <c r="AD220">
        <v>21</v>
      </c>
      <c r="AE220">
        <v>2023</v>
      </c>
      <c r="AF220" t="b">
        <v>0</v>
      </c>
      <c r="AG220" s="19">
        <v>45128</v>
      </c>
    </row>
    <row r="221" spans="1:33" x14ac:dyDescent="0.25">
      <c r="A221" s="25">
        <v>10220</v>
      </c>
      <c r="B221" s="67" t="s">
        <v>237</v>
      </c>
      <c r="C221" s="67" t="s">
        <v>237</v>
      </c>
      <c r="D221" s="68">
        <v>2101</v>
      </c>
      <c r="E221" s="68">
        <v>1</v>
      </c>
      <c r="F221" s="68"/>
      <c r="G221" s="68"/>
      <c r="H221" s="67" t="s">
        <v>17</v>
      </c>
      <c r="I221" s="69" t="s">
        <v>8</v>
      </c>
      <c r="J221" s="67">
        <v>3.85E-2</v>
      </c>
      <c r="K221" s="67">
        <v>4.5439999999999996</v>
      </c>
      <c r="L221" s="67">
        <v>0.26</v>
      </c>
      <c r="M221" s="67">
        <v>2.5999999999999999E-2</v>
      </c>
      <c r="N221" s="67">
        <v>0.32900000000000001</v>
      </c>
      <c r="O221" s="67">
        <v>14.505000000000001</v>
      </c>
      <c r="P221" t="s">
        <v>660</v>
      </c>
      <c r="AA221">
        <v>40.681922</v>
      </c>
      <c r="AB221">
        <v>-85.888621000000001</v>
      </c>
      <c r="AC221">
        <v>7</v>
      </c>
      <c r="AD221">
        <v>27</v>
      </c>
      <c r="AE221">
        <v>2023</v>
      </c>
      <c r="AF221" t="b">
        <v>0</v>
      </c>
      <c r="AG221" s="19">
        <v>45134</v>
      </c>
    </row>
    <row r="222" spans="1:33" x14ac:dyDescent="0.25">
      <c r="A222" s="25">
        <v>10221</v>
      </c>
      <c r="B222" s="67" t="s">
        <v>238</v>
      </c>
      <c r="C222" s="67" t="s">
        <v>238</v>
      </c>
      <c r="D222" s="68">
        <v>2102</v>
      </c>
      <c r="E222" s="68">
        <v>2</v>
      </c>
      <c r="F222" s="68"/>
      <c r="G222" s="68"/>
      <c r="H222" s="67" t="s">
        <v>17</v>
      </c>
      <c r="I222" s="69" t="s">
        <v>8</v>
      </c>
      <c r="J222" s="67">
        <v>6.0299999999999999E-2</v>
      </c>
      <c r="K222" s="67">
        <v>4.6989999999999998</v>
      </c>
      <c r="L222" s="67">
        <v>0.27800000000000002</v>
      </c>
      <c r="M222" s="67">
        <v>0.03</v>
      </c>
      <c r="N222" s="67">
        <v>0.185</v>
      </c>
      <c r="O222" s="67">
        <v>14.734999999999999</v>
      </c>
      <c r="P222" t="s">
        <v>660</v>
      </c>
      <c r="AA222">
        <v>40.676791999999999</v>
      </c>
      <c r="AB222">
        <v>-85.876581000000002</v>
      </c>
      <c r="AC222">
        <v>7</v>
      </c>
      <c r="AD222">
        <v>27</v>
      </c>
      <c r="AE222">
        <v>2023</v>
      </c>
      <c r="AF222" t="b">
        <v>0</v>
      </c>
      <c r="AG222" s="19">
        <v>45134</v>
      </c>
    </row>
    <row r="223" spans="1:33" x14ac:dyDescent="0.25">
      <c r="A223" s="25">
        <v>10222</v>
      </c>
      <c r="B223" s="67" t="s">
        <v>239</v>
      </c>
      <c r="C223" s="67" t="s">
        <v>239</v>
      </c>
      <c r="D223" s="68">
        <v>2103</v>
      </c>
      <c r="E223" s="68">
        <v>3</v>
      </c>
      <c r="F223" s="68"/>
      <c r="G223" s="68"/>
      <c r="H223" s="67" t="s">
        <v>17</v>
      </c>
      <c r="I223" s="69" t="s">
        <v>8</v>
      </c>
      <c r="J223" s="67">
        <v>5.8700000000000002E-2</v>
      </c>
      <c r="K223" s="67">
        <v>5.5039999999999996</v>
      </c>
      <c r="L223" s="67">
        <v>0.34200000000000003</v>
      </c>
      <c r="M223" s="67">
        <v>3.4500000000000003E-2</v>
      </c>
      <c r="N223" s="67">
        <v>0.34699999999999998</v>
      </c>
      <c r="O223" s="67">
        <v>11.865</v>
      </c>
      <c r="P223" t="s">
        <v>660</v>
      </c>
      <c r="AA223">
        <v>40.671010000000003</v>
      </c>
      <c r="AB223">
        <v>-85.869494000000003</v>
      </c>
      <c r="AC223">
        <v>7</v>
      </c>
      <c r="AD223">
        <v>27</v>
      </c>
      <c r="AE223">
        <v>2023</v>
      </c>
      <c r="AF223" t="b">
        <v>0</v>
      </c>
      <c r="AG223" s="19">
        <v>45134</v>
      </c>
    </row>
    <row r="224" spans="1:33" x14ac:dyDescent="0.25">
      <c r="A224" s="25">
        <v>10223</v>
      </c>
      <c r="B224" s="67" t="s">
        <v>240</v>
      </c>
      <c r="C224" s="67" t="s">
        <v>240</v>
      </c>
      <c r="D224" s="68">
        <v>2104</v>
      </c>
      <c r="E224" s="68">
        <v>4</v>
      </c>
      <c r="F224" s="68"/>
      <c r="G224" s="68"/>
      <c r="H224" s="67" t="s">
        <v>17</v>
      </c>
      <c r="I224" s="69" t="s">
        <v>8</v>
      </c>
      <c r="J224" s="67">
        <v>6.1400000000000003E-2</v>
      </c>
      <c r="K224" s="67">
        <v>5.0510000000000002</v>
      </c>
      <c r="L224" s="67">
        <v>0.19900000000000001</v>
      </c>
      <c r="M224" s="67">
        <v>4.3499999999999997E-2</v>
      </c>
      <c r="N224" s="67">
        <v>0.373</v>
      </c>
      <c r="O224" s="67">
        <v>13.705</v>
      </c>
      <c r="P224" t="s">
        <v>660</v>
      </c>
      <c r="AA224">
        <v>40.663311</v>
      </c>
      <c r="AB224">
        <v>-85.865977000000001</v>
      </c>
      <c r="AC224">
        <v>7</v>
      </c>
      <c r="AD224">
        <v>27</v>
      </c>
      <c r="AE224">
        <v>2023</v>
      </c>
      <c r="AF224" t="b">
        <v>0</v>
      </c>
      <c r="AG224" s="19">
        <v>45134</v>
      </c>
    </row>
    <row r="225" spans="1:33" x14ac:dyDescent="0.25">
      <c r="A225" s="25">
        <v>10224</v>
      </c>
      <c r="B225" t="s">
        <v>241</v>
      </c>
      <c r="C225" t="s">
        <v>241</v>
      </c>
      <c r="D225" s="27">
        <v>2105</v>
      </c>
      <c r="E225" s="27">
        <v>5</v>
      </c>
      <c r="F225" s="27"/>
      <c r="G225" s="27"/>
      <c r="H225" t="s">
        <v>17</v>
      </c>
      <c r="I225" s="24" t="s">
        <v>8</v>
      </c>
      <c r="M225">
        <v>7.5999999999999998E-2</v>
      </c>
      <c r="N225">
        <v>0.40600000000000003</v>
      </c>
      <c r="O225">
        <v>17.22</v>
      </c>
      <c r="P225" t="s">
        <v>660</v>
      </c>
      <c r="AA225">
        <v>40.668644</v>
      </c>
      <c r="AB225">
        <v>-85.847110999999998</v>
      </c>
      <c r="AC225">
        <v>7</v>
      </c>
      <c r="AD225">
        <v>27</v>
      </c>
      <c r="AE225">
        <v>2023</v>
      </c>
      <c r="AF225" t="b">
        <v>0</v>
      </c>
      <c r="AG225" s="19">
        <v>45134</v>
      </c>
    </row>
    <row r="226" spans="1:33" x14ac:dyDescent="0.25">
      <c r="A226" s="25">
        <v>10225</v>
      </c>
      <c r="B226" s="67" t="s">
        <v>242</v>
      </c>
      <c r="C226" s="67" t="s">
        <v>242</v>
      </c>
      <c r="D226" s="68">
        <v>2106</v>
      </c>
      <c r="E226" s="68">
        <v>6</v>
      </c>
      <c r="F226" s="68"/>
      <c r="G226" s="68"/>
      <c r="H226" s="67" t="s">
        <v>17</v>
      </c>
      <c r="I226" s="69" t="s">
        <v>8</v>
      </c>
      <c r="J226" s="67">
        <v>3.8699999999999998E-2</v>
      </c>
      <c r="K226" s="67">
        <v>5.7759999999999998</v>
      </c>
      <c r="L226" s="67">
        <v>0.41199999999999998</v>
      </c>
      <c r="M226" s="67">
        <v>5.1499999999999997E-2</v>
      </c>
      <c r="N226" s="67">
        <v>0.26600000000000001</v>
      </c>
      <c r="O226" s="67">
        <v>17.600000000000001</v>
      </c>
      <c r="P226" t="s">
        <v>660</v>
      </c>
      <c r="AA226">
        <v>40.673974000000001</v>
      </c>
      <c r="AB226">
        <v>-85.831631999999999</v>
      </c>
      <c r="AC226">
        <v>7</v>
      </c>
      <c r="AD226">
        <v>27</v>
      </c>
      <c r="AE226">
        <v>2023</v>
      </c>
      <c r="AF226" t="b">
        <v>0</v>
      </c>
      <c r="AG226" s="19">
        <v>45134</v>
      </c>
    </row>
    <row r="227" spans="1:33" x14ac:dyDescent="0.25">
      <c r="A227" s="25">
        <v>10226</v>
      </c>
      <c r="B227" s="67" t="s">
        <v>243</v>
      </c>
      <c r="C227" s="67" t="s">
        <v>243</v>
      </c>
      <c r="D227" s="68">
        <v>2107</v>
      </c>
      <c r="E227" s="68">
        <v>7</v>
      </c>
      <c r="F227" s="68"/>
      <c r="G227" s="68"/>
      <c r="H227" s="67" t="s">
        <v>17</v>
      </c>
      <c r="I227" s="69" t="s">
        <v>8</v>
      </c>
      <c r="J227" s="67">
        <v>6.3100000000000003E-2</v>
      </c>
      <c r="K227" s="67">
        <v>3.1890000000000001</v>
      </c>
      <c r="L227" s="67">
        <v>0.26</v>
      </c>
      <c r="M227" s="67">
        <v>3.5499999999999997E-2</v>
      </c>
      <c r="N227" s="67">
        <v>0.495</v>
      </c>
      <c r="O227" s="67">
        <v>26.045000000000002</v>
      </c>
      <c r="P227" t="s">
        <v>660</v>
      </c>
      <c r="AA227">
        <v>40.689686000000002</v>
      </c>
      <c r="AB227">
        <v>-85.895390000000006</v>
      </c>
      <c r="AC227">
        <v>7</v>
      </c>
      <c r="AD227">
        <v>27</v>
      </c>
      <c r="AE227">
        <v>2023</v>
      </c>
      <c r="AF227" t="b">
        <v>0</v>
      </c>
      <c r="AG227" s="19">
        <v>45134</v>
      </c>
    </row>
    <row r="228" spans="1:33" x14ac:dyDescent="0.25">
      <c r="A228" s="25">
        <v>10227</v>
      </c>
      <c r="B228" s="67" t="s">
        <v>244</v>
      </c>
      <c r="C228" s="67" t="s">
        <v>244</v>
      </c>
      <c r="D228" s="68">
        <v>2108</v>
      </c>
      <c r="E228" s="68">
        <v>8</v>
      </c>
      <c r="F228" s="68"/>
      <c r="G228" s="68"/>
      <c r="H228" s="67" t="s">
        <v>17</v>
      </c>
      <c r="I228" s="69" t="s">
        <v>8</v>
      </c>
      <c r="J228" s="67">
        <v>5.2600000000000001E-2</v>
      </c>
      <c r="K228" s="67">
        <v>4.1440000000000001</v>
      </c>
      <c r="L228" s="67">
        <v>0.26700000000000002</v>
      </c>
      <c r="M228" s="67">
        <v>3.5000000000000003E-2</v>
      </c>
      <c r="N228" s="67">
        <v>0.55400000000000005</v>
      </c>
      <c r="O228" s="67">
        <v>12.87</v>
      </c>
      <c r="P228" t="s">
        <v>660</v>
      </c>
      <c r="AA228">
        <v>40.693033</v>
      </c>
      <c r="AB228">
        <v>-85.907493000000002</v>
      </c>
      <c r="AC228">
        <v>7</v>
      </c>
      <c r="AD228">
        <v>27</v>
      </c>
      <c r="AE228">
        <v>2023</v>
      </c>
      <c r="AF228" t="b">
        <v>0</v>
      </c>
      <c r="AG228" s="19">
        <v>45134</v>
      </c>
    </row>
    <row r="229" spans="1:33" x14ac:dyDescent="0.25">
      <c r="A229" s="25">
        <v>10228</v>
      </c>
      <c r="B229" s="67" t="s">
        <v>245</v>
      </c>
      <c r="C229" s="67" t="s">
        <v>245</v>
      </c>
      <c r="D229" s="68">
        <v>2109</v>
      </c>
      <c r="E229" s="68">
        <v>9</v>
      </c>
      <c r="F229" s="68"/>
      <c r="G229" s="68"/>
      <c r="H229" s="67" t="s">
        <v>17</v>
      </c>
      <c r="I229" s="69" t="s">
        <v>8</v>
      </c>
      <c r="J229" s="67">
        <v>4.2599999999999999E-2</v>
      </c>
      <c r="K229" s="67">
        <v>3.9340000000000002</v>
      </c>
      <c r="L229" s="67">
        <v>0.36899999999999999</v>
      </c>
      <c r="M229" s="67">
        <v>2.5999999999999999E-2</v>
      </c>
      <c r="N229" s="67">
        <v>0.17899999999999999</v>
      </c>
      <c r="O229" s="67">
        <v>11.845000000000001</v>
      </c>
      <c r="P229" t="s">
        <v>660</v>
      </c>
      <c r="AA229">
        <v>40.704790000000003</v>
      </c>
      <c r="AB229">
        <v>-85.929541999999998</v>
      </c>
      <c r="AC229">
        <v>7</v>
      </c>
      <c r="AD229">
        <v>27</v>
      </c>
      <c r="AE229">
        <v>2023</v>
      </c>
      <c r="AF229" t="b">
        <v>0</v>
      </c>
      <c r="AG229" s="19">
        <v>45134</v>
      </c>
    </row>
    <row r="230" spans="1:33" x14ac:dyDescent="0.25">
      <c r="A230" s="25">
        <v>10229</v>
      </c>
      <c r="B230" s="67" t="s">
        <v>246</v>
      </c>
      <c r="C230" s="67" t="s">
        <v>246</v>
      </c>
      <c r="D230" s="68">
        <v>2110</v>
      </c>
      <c r="E230" s="68">
        <v>10</v>
      </c>
      <c r="F230" s="68"/>
      <c r="G230" s="68"/>
      <c r="H230" s="67" t="s">
        <v>17</v>
      </c>
      <c r="I230" s="69" t="s">
        <v>8</v>
      </c>
      <c r="J230" s="67">
        <v>4.8099999999999997E-2</v>
      </c>
      <c r="K230" s="67">
        <v>4.0439999999999996</v>
      </c>
      <c r="L230" s="67">
        <v>0.215</v>
      </c>
      <c r="M230" s="67">
        <v>2.8500000000000001E-2</v>
      </c>
      <c r="N230" s="67">
        <v>0.51200000000000001</v>
      </c>
      <c r="O230" s="67">
        <v>14.845000000000001</v>
      </c>
      <c r="P230" t="s">
        <v>660</v>
      </c>
      <c r="AA230">
        <v>40.693753000000001</v>
      </c>
      <c r="AB230">
        <v>-85.920210999999995</v>
      </c>
      <c r="AC230">
        <v>7</v>
      </c>
      <c r="AD230">
        <v>27</v>
      </c>
      <c r="AE230">
        <v>2023</v>
      </c>
      <c r="AF230" t="b">
        <v>0</v>
      </c>
      <c r="AG230" s="19">
        <v>45134</v>
      </c>
    </row>
    <row r="231" spans="1:33" x14ac:dyDescent="0.25">
      <c r="A231" s="25">
        <v>10230</v>
      </c>
      <c r="B231" s="67" t="s">
        <v>247</v>
      </c>
      <c r="C231" s="67" t="s">
        <v>247</v>
      </c>
      <c r="D231" s="68">
        <v>2111</v>
      </c>
      <c r="E231" s="68">
        <v>11</v>
      </c>
      <c r="F231" s="68"/>
      <c r="G231" s="68"/>
      <c r="H231" s="67" t="s">
        <v>17</v>
      </c>
      <c r="I231" s="69" t="s">
        <v>8</v>
      </c>
      <c r="J231" s="67">
        <v>6.1100000000000002E-2</v>
      </c>
      <c r="K231" s="67">
        <v>3.6909999999999998</v>
      </c>
      <c r="L231" s="67">
        <v>0.48099999999999998</v>
      </c>
      <c r="M231" s="67">
        <v>2.3E-2</v>
      </c>
      <c r="N231" s="67">
        <v>0.55600000000000005</v>
      </c>
      <c r="O231" s="67">
        <v>13.465</v>
      </c>
      <c r="P231" t="s">
        <v>660</v>
      </c>
      <c r="AA231">
        <v>40.713968999999999</v>
      </c>
      <c r="AB231">
        <v>-85.936930000000004</v>
      </c>
      <c r="AC231">
        <v>7</v>
      </c>
      <c r="AD231">
        <v>27</v>
      </c>
      <c r="AE231">
        <v>2023</v>
      </c>
      <c r="AF231" t="b">
        <v>0</v>
      </c>
      <c r="AG231" s="19">
        <v>45134</v>
      </c>
    </row>
    <row r="232" spans="1:33" x14ac:dyDescent="0.25">
      <c r="A232" s="25">
        <v>10231</v>
      </c>
      <c r="B232" s="67" t="s">
        <v>248</v>
      </c>
      <c r="C232" s="67" t="s">
        <v>248</v>
      </c>
      <c r="D232" s="68">
        <v>2112</v>
      </c>
      <c r="E232" s="68">
        <v>12</v>
      </c>
      <c r="F232" s="68"/>
      <c r="G232" s="68"/>
      <c r="H232" s="67" t="s">
        <v>17</v>
      </c>
      <c r="I232" s="69" t="s">
        <v>8</v>
      </c>
      <c r="J232" s="67">
        <v>4.6399999999999997E-2</v>
      </c>
      <c r="K232" s="67">
        <v>4.0410000000000004</v>
      </c>
      <c r="L232" s="67">
        <v>0.26100000000000001</v>
      </c>
      <c r="M232" s="67">
        <v>2.5000000000000001E-2</v>
      </c>
      <c r="N232" s="67">
        <v>0.499</v>
      </c>
      <c r="O232" s="67">
        <v>13.705</v>
      </c>
      <c r="P232" t="s">
        <v>660</v>
      </c>
      <c r="AA232">
        <v>40.711269999999999</v>
      </c>
      <c r="AB232">
        <v>-85.953781000000006</v>
      </c>
      <c r="AC232">
        <v>7</v>
      </c>
      <c r="AD232">
        <v>27</v>
      </c>
      <c r="AE232">
        <v>2023</v>
      </c>
      <c r="AF232" t="b">
        <v>0</v>
      </c>
      <c r="AG232" s="19">
        <v>45134</v>
      </c>
    </row>
    <row r="233" spans="1:33" x14ac:dyDescent="0.25">
      <c r="A233" s="25">
        <v>10232</v>
      </c>
      <c r="B233" s="67" t="s">
        <v>249</v>
      </c>
      <c r="C233" s="67" t="s">
        <v>242</v>
      </c>
      <c r="D233" s="68">
        <v>2106</v>
      </c>
      <c r="E233" s="68">
        <v>6</v>
      </c>
      <c r="F233" s="68"/>
      <c r="G233" s="68"/>
      <c r="H233" s="67" t="s">
        <v>17</v>
      </c>
      <c r="I233" s="69" t="s">
        <v>8</v>
      </c>
      <c r="J233" s="67">
        <v>6.5699999999999995E-2</v>
      </c>
      <c r="K233" s="67">
        <v>5.5880000000000001</v>
      </c>
      <c r="L233" s="67">
        <v>0.315</v>
      </c>
      <c r="M233" s="67">
        <v>5.1499999999999997E-2</v>
      </c>
      <c r="N233" s="67">
        <v>0.251</v>
      </c>
      <c r="O233" s="67">
        <v>13.38</v>
      </c>
      <c r="P233" t="s">
        <v>660</v>
      </c>
      <c r="AA233">
        <v>40.675078999999997</v>
      </c>
      <c r="AB233">
        <v>-85.835430000000002</v>
      </c>
      <c r="AC233">
        <v>7</v>
      </c>
      <c r="AD233">
        <v>27</v>
      </c>
      <c r="AE233">
        <v>2023</v>
      </c>
      <c r="AF233" t="b">
        <v>0</v>
      </c>
      <c r="AG233" s="19">
        <v>45134</v>
      </c>
    </row>
    <row r="234" spans="1:33" x14ac:dyDescent="0.25">
      <c r="A234" s="25">
        <v>10233</v>
      </c>
      <c r="B234" t="s">
        <v>250</v>
      </c>
      <c r="C234" t="s">
        <v>249</v>
      </c>
      <c r="D234" s="27">
        <v>2113</v>
      </c>
      <c r="E234" s="27">
        <v>13</v>
      </c>
      <c r="F234" s="27"/>
      <c r="G234" s="27"/>
      <c r="H234" t="s">
        <v>17</v>
      </c>
      <c r="I234" s="24" t="s">
        <v>8</v>
      </c>
      <c r="K234">
        <v>6.6364999999999998</v>
      </c>
      <c r="M234">
        <v>6.0999999999999999E-2</v>
      </c>
      <c r="N234">
        <v>0.17499999999999999</v>
      </c>
      <c r="O234">
        <v>25.73</v>
      </c>
      <c r="P234" t="s">
        <v>660</v>
      </c>
      <c r="AA234">
        <v>40.673793000000003</v>
      </c>
      <c r="AB234">
        <v>-85.841280999999995</v>
      </c>
      <c r="AC234">
        <v>7</v>
      </c>
      <c r="AD234">
        <v>27</v>
      </c>
      <c r="AE234">
        <v>2023</v>
      </c>
      <c r="AF234" t="b">
        <v>0</v>
      </c>
      <c r="AG234" s="19">
        <v>45134</v>
      </c>
    </row>
    <row r="235" spans="1:33" x14ac:dyDescent="0.25">
      <c r="A235" s="25">
        <v>10234</v>
      </c>
      <c r="B235" s="67" t="s">
        <v>251</v>
      </c>
      <c r="C235" s="67" t="s">
        <v>247</v>
      </c>
      <c r="D235" s="68">
        <v>2111</v>
      </c>
      <c r="E235" s="68">
        <v>11</v>
      </c>
      <c r="F235" s="68"/>
      <c r="G235" s="68"/>
      <c r="H235" s="67" t="s">
        <v>17</v>
      </c>
      <c r="I235" s="69" t="s">
        <v>8</v>
      </c>
      <c r="J235" s="67">
        <v>5.4300000000000001E-2</v>
      </c>
      <c r="K235" s="67">
        <v>3.1749999999999998</v>
      </c>
      <c r="L235" s="67">
        <v>0.248</v>
      </c>
      <c r="M235" s="67">
        <v>2.8500000000000001E-2</v>
      </c>
      <c r="N235" s="67">
        <v>0.46400000000000002</v>
      </c>
      <c r="O235" s="67">
        <v>9.8249999999999993</v>
      </c>
      <c r="P235" t="s">
        <v>660</v>
      </c>
      <c r="AA235">
        <v>40.707439999999998</v>
      </c>
      <c r="AB235">
        <v>-85.940211000000005</v>
      </c>
      <c r="AC235">
        <v>7</v>
      </c>
      <c r="AD235">
        <v>27</v>
      </c>
      <c r="AE235">
        <v>2023</v>
      </c>
      <c r="AF235" t="b">
        <v>0</v>
      </c>
      <c r="AG235" s="19">
        <v>45134</v>
      </c>
    </row>
    <row r="236" spans="1:33" x14ac:dyDescent="0.25">
      <c r="A236" s="25">
        <v>10235</v>
      </c>
      <c r="B236" t="s">
        <v>252</v>
      </c>
      <c r="C236" t="s">
        <v>560</v>
      </c>
      <c r="D236" s="27">
        <v>4102</v>
      </c>
      <c r="E236" s="27">
        <v>2</v>
      </c>
      <c r="F236" s="27"/>
      <c r="G236" s="27"/>
      <c r="H236" t="s">
        <v>18</v>
      </c>
      <c r="I236" s="24" t="s">
        <v>8</v>
      </c>
      <c r="K236">
        <v>7.9000000000000001E-2</v>
      </c>
      <c r="M236">
        <v>0.28349999999999997</v>
      </c>
      <c r="N236" t="s">
        <v>660</v>
      </c>
      <c r="O236">
        <v>42.41</v>
      </c>
      <c r="P236" t="s">
        <v>660</v>
      </c>
      <c r="AA236">
        <v>40.840980000000002</v>
      </c>
      <c r="AB236">
        <v>-86.80489</v>
      </c>
      <c r="AC236">
        <v>8</v>
      </c>
      <c r="AD236">
        <v>1</v>
      </c>
      <c r="AE236">
        <v>2023</v>
      </c>
      <c r="AF236" t="b">
        <v>0</v>
      </c>
      <c r="AG236" s="19">
        <v>45139</v>
      </c>
    </row>
    <row r="237" spans="1:33" x14ac:dyDescent="0.25">
      <c r="A237" s="25">
        <v>10236</v>
      </c>
      <c r="B237" t="s">
        <v>253</v>
      </c>
      <c r="C237" t="s">
        <v>560</v>
      </c>
      <c r="D237" s="27">
        <v>4102</v>
      </c>
      <c r="E237" s="27">
        <v>2</v>
      </c>
      <c r="F237" s="27"/>
      <c r="G237" s="27"/>
      <c r="H237" t="s">
        <v>18</v>
      </c>
      <c r="I237" s="24" t="s">
        <v>8</v>
      </c>
      <c r="K237">
        <v>0.1075</v>
      </c>
      <c r="M237">
        <v>0.32150000000000001</v>
      </c>
      <c r="N237" t="s">
        <v>660</v>
      </c>
      <c r="O237">
        <v>57.79</v>
      </c>
      <c r="P237" t="s">
        <v>660</v>
      </c>
      <c r="AA237">
        <v>40.840850000000003</v>
      </c>
      <c r="AB237">
        <v>-86.804950000000005</v>
      </c>
      <c r="AC237">
        <v>8</v>
      </c>
      <c r="AD237">
        <v>1</v>
      </c>
      <c r="AE237">
        <v>2023</v>
      </c>
      <c r="AF237" t="b">
        <v>0</v>
      </c>
      <c r="AG237" s="19">
        <v>45139</v>
      </c>
    </row>
    <row r="238" spans="1:33" x14ac:dyDescent="0.25">
      <c r="A238" s="25">
        <v>10237</v>
      </c>
      <c r="B238" t="s">
        <v>254</v>
      </c>
      <c r="C238" t="s">
        <v>561</v>
      </c>
      <c r="D238" s="27" t="s">
        <v>509</v>
      </c>
      <c r="E238" s="27" t="str">
        <f>RIGHT(D238,2)</f>
        <v>LL</v>
      </c>
      <c r="F238" s="27"/>
      <c r="G238" s="27"/>
      <c r="H238" t="s">
        <v>18</v>
      </c>
      <c r="I238" s="24" t="s">
        <v>8</v>
      </c>
      <c r="M238">
        <v>0.36599999999999999</v>
      </c>
      <c r="N238" t="s">
        <v>660</v>
      </c>
      <c r="O238">
        <v>60.424999999999997</v>
      </c>
      <c r="P238" t="s">
        <v>660</v>
      </c>
      <c r="AA238">
        <v>40.458579999999998</v>
      </c>
      <c r="AB238">
        <v>-86.844009999999997</v>
      </c>
      <c r="AC238">
        <v>8</v>
      </c>
      <c r="AD238">
        <v>1</v>
      </c>
      <c r="AE238">
        <v>2023</v>
      </c>
      <c r="AF238" t="b">
        <v>0</v>
      </c>
      <c r="AG238" s="19">
        <v>45139</v>
      </c>
    </row>
    <row r="239" spans="1:33" x14ac:dyDescent="0.25">
      <c r="A239" s="25">
        <v>10238</v>
      </c>
      <c r="B239" t="s">
        <v>255</v>
      </c>
      <c r="C239" t="s">
        <v>562</v>
      </c>
      <c r="D239" s="27">
        <v>4104</v>
      </c>
      <c r="E239" s="27">
        <v>4</v>
      </c>
      <c r="F239" s="27"/>
      <c r="G239" s="27"/>
      <c r="H239" t="s">
        <v>18</v>
      </c>
      <c r="I239" s="24" t="s">
        <v>8</v>
      </c>
      <c r="N239" t="s">
        <v>660</v>
      </c>
      <c r="O239">
        <v>70.510000000000005</v>
      </c>
      <c r="P239" t="s">
        <v>660</v>
      </c>
      <c r="AA239">
        <v>40.847639999999998</v>
      </c>
      <c r="AB239">
        <v>-86.813280000000006</v>
      </c>
      <c r="AC239">
        <v>8</v>
      </c>
      <c r="AD239">
        <v>1</v>
      </c>
      <c r="AE239">
        <v>2023</v>
      </c>
      <c r="AF239" t="b">
        <v>0</v>
      </c>
      <c r="AG239" s="19">
        <v>45139</v>
      </c>
    </row>
    <row r="240" spans="1:33" x14ac:dyDescent="0.25">
      <c r="A240" s="25">
        <v>10239</v>
      </c>
      <c r="B240" t="s">
        <v>256</v>
      </c>
      <c r="C240" t="s">
        <v>455</v>
      </c>
      <c r="D240" s="27">
        <v>4105</v>
      </c>
      <c r="E240" s="27">
        <v>5</v>
      </c>
      <c r="F240" s="27"/>
      <c r="G240" s="27"/>
      <c r="H240" t="s">
        <v>18</v>
      </c>
      <c r="I240" s="24" t="s">
        <v>8</v>
      </c>
      <c r="K240">
        <v>3.4000000000000002E-2</v>
      </c>
      <c r="M240">
        <v>0.14799999999999999</v>
      </c>
      <c r="N240" t="s">
        <v>660</v>
      </c>
      <c r="O240">
        <v>63.155000000000001</v>
      </c>
      <c r="P240" t="s">
        <v>660</v>
      </c>
      <c r="AA240">
        <v>40.823979999999999</v>
      </c>
      <c r="AB240">
        <v>-86.795230000000004</v>
      </c>
      <c r="AC240">
        <v>8</v>
      </c>
      <c r="AD240">
        <v>1</v>
      </c>
      <c r="AE240">
        <v>2023</v>
      </c>
      <c r="AF240" t="b">
        <v>0</v>
      </c>
      <c r="AG240" s="19">
        <v>45139</v>
      </c>
    </row>
    <row r="241" spans="1:33" x14ac:dyDescent="0.25">
      <c r="A241" s="25">
        <v>10240</v>
      </c>
      <c r="B241" t="s">
        <v>257</v>
      </c>
      <c r="C241" t="s">
        <v>563</v>
      </c>
      <c r="D241" s="27">
        <v>4106</v>
      </c>
      <c r="E241" s="27">
        <v>6</v>
      </c>
      <c r="F241" s="27"/>
      <c r="G241" s="27"/>
      <c r="H241" t="s">
        <v>18</v>
      </c>
      <c r="I241" s="24" t="s">
        <v>8</v>
      </c>
      <c r="M241">
        <v>7.0000000000000007E-2</v>
      </c>
      <c r="N241" t="s">
        <v>660</v>
      </c>
      <c r="O241">
        <v>5.0599999999999996</v>
      </c>
      <c r="P241" t="s">
        <v>660</v>
      </c>
      <c r="AA241">
        <v>40.835050000000003</v>
      </c>
      <c r="AB241">
        <v>-86.782030000000006</v>
      </c>
      <c r="AC241">
        <v>8</v>
      </c>
      <c r="AD241">
        <v>1</v>
      </c>
      <c r="AE241">
        <v>2023</v>
      </c>
      <c r="AF241" t="b">
        <v>0</v>
      </c>
      <c r="AG241" s="19">
        <v>45139</v>
      </c>
    </row>
    <row r="242" spans="1:33" x14ac:dyDescent="0.25">
      <c r="A242" s="25">
        <v>10241</v>
      </c>
      <c r="B242" t="s">
        <v>258</v>
      </c>
      <c r="C242" t="s">
        <v>564</v>
      </c>
      <c r="D242" s="27">
        <v>4107</v>
      </c>
      <c r="E242" s="27">
        <v>7</v>
      </c>
      <c r="F242" s="27"/>
      <c r="G242" s="27"/>
      <c r="H242" t="s">
        <v>18</v>
      </c>
      <c r="I242" s="24" t="s">
        <v>8</v>
      </c>
      <c r="K242">
        <v>4.0579999999999998</v>
      </c>
      <c r="M242">
        <v>7.5499999999999998E-2</v>
      </c>
      <c r="N242" t="s">
        <v>660</v>
      </c>
      <c r="O242">
        <v>2.1850000000000001</v>
      </c>
      <c r="P242" t="s">
        <v>660</v>
      </c>
      <c r="AA242">
        <v>40.846890000000002</v>
      </c>
      <c r="AB242">
        <v>-86.760059999999996</v>
      </c>
      <c r="AC242">
        <v>8</v>
      </c>
      <c r="AD242">
        <v>1</v>
      </c>
      <c r="AE242">
        <v>2023</v>
      </c>
      <c r="AF242" t="b">
        <v>0</v>
      </c>
      <c r="AG242" s="19">
        <v>45139</v>
      </c>
    </row>
    <row r="243" spans="1:33" x14ac:dyDescent="0.25">
      <c r="A243" s="25">
        <v>10242</v>
      </c>
      <c r="B243" t="s">
        <v>259</v>
      </c>
      <c r="C243" t="s">
        <v>565</v>
      </c>
      <c r="D243" s="27">
        <v>4108</v>
      </c>
      <c r="E243" s="27">
        <v>8</v>
      </c>
      <c r="F243" s="27"/>
      <c r="G243" s="27"/>
      <c r="H243" t="s">
        <v>18</v>
      </c>
      <c r="I243" s="24" t="s">
        <v>8</v>
      </c>
      <c r="M243">
        <v>0.08</v>
      </c>
      <c r="N243" t="s">
        <v>660</v>
      </c>
      <c r="O243">
        <v>17.41</v>
      </c>
      <c r="P243" t="s">
        <v>660</v>
      </c>
      <c r="AA243">
        <v>40.811030000000002</v>
      </c>
      <c r="AB243">
        <v>-86.794619999999995</v>
      </c>
      <c r="AC243">
        <v>8</v>
      </c>
      <c r="AD243">
        <v>1</v>
      </c>
      <c r="AE243">
        <v>2023</v>
      </c>
      <c r="AF243" t="b">
        <v>0</v>
      </c>
      <c r="AG243" s="19">
        <v>45139</v>
      </c>
    </row>
    <row r="244" spans="1:33" x14ac:dyDescent="0.25">
      <c r="A244" s="25">
        <v>10243</v>
      </c>
      <c r="B244" t="s">
        <v>260</v>
      </c>
      <c r="C244" t="s">
        <v>566</v>
      </c>
      <c r="D244" s="27">
        <v>4109</v>
      </c>
      <c r="E244" s="27">
        <v>9</v>
      </c>
      <c r="F244" s="27"/>
      <c r="G244" s="27"/>
      <c r="H244" t="s">
        <v>18</v>
      </c>
      <c r="I244" s="24" t="s">
        <v>8</v>
      </c>
      <c r="K244">
        <v>0.33550000000000002</v>
      </c>
      <c r="M244">
        <v>7.5999999999999998E-2</v>
      </c>
      <c r="N244" t="s">
        <v>660</v>
      </c>
      <c r="O244">
        <v>41.19</v>
      </c>
      <c r="P244" t="s">
        <v>660</v>
      </c>
      <c r="AA244">
        <v>40.80368</v>
      </c>
      <c r="AB244">
        <v>-86.775949999999995</v>
      </c>
      <c r="AC244">
        <v>8</v>
      </c>
      <c r="AD244">
        <v>1</v>
      </c>
      <c r="AE244">
        <v>2023</v>
      </c>
      <c r="AF244" t="b">
        <v>0</v>
      </c>
      <c r="AG244" s="19">
        <v>45139</v>
      </c>
    </row>
    <row r="245" spans="1:33" x14ac:dyDescent="0.25">
      <c r="A245" s="25">
        <v>10244</v>
      </c>
      <c r="B245" t="s">
        <v>261</v>
      </c>
      <c r="C245" t="s">
        <v>567</v>
      </c>
      <c r="D245" s="27">
        <v>4110</v>
      </c>
      <c r="E245" s="27">
        <v>10</v>
      </c>
      <c r="F245" s="27"/>
      <c r="G245" s="27"/>
      <c r="H245" t="s">
        <v>18</v>
      </c>
      <c r="I245" s="24" t="s">
        <v>8</v>
      </c>
      <c r="M245">
        <v>0.09</v>
      </c>
      <c r="N245" t="s">
        <v>660</v>
      </c>
      <c r="O245">
        <v>62.793333333333301</v>
      </c>
      <c r="P245" t="s">
        <v>660</v>
      </c>
      <c r="AA245">
        <v>40.794559999999997</v>
      </c>
      <c r="AB245">
        <v>-86.773859999999999</v>
      </c>
      <c r="AC245">
        <v>8</v>
      </c>
      <c r="AD245">
        <v>1</v>
      </c>
      <c r="AE245">
        <v>2023</v>
      </c>
      <c r="AF245" t="b">
        <v>0</v>
      </c>
      <c r="AG245" s="19">
        <v>45139</v>
      </c>
    </row>
    <row r="246" spans="1:33" x14ac:dyDescent="0.25">
      <c r="A246" s="25">
        <v>10245</v>
      </c>
      <c r="B246" t="s">
        <v>262</v>
      </c>
      <c r="C246" t="s">
        <v>568</v>
      </c>
      <c r="D246" s="27">
        <v>4111</v>
      </c>
      <c r="E246" s="27">
        <v>11</v>
      </c>
      <c r="F246" s="27"/>
      <c r="G246" s="27"/>
      <c r="H246" t="s">
        <v>18</v>
      </c>
      <c r="I246" s="24" t="s">
        <v>8</v>
      </c>
      <c r="K246">
        <v>7.6499999999999999E-2</v>
      </c>
      <c r="M246">
        <v>0.1305</v>
      </c>
      <c r="N246" t="s">
        <v>660</v>
      </c>
      <c r="O246">
        <v>80.319999999999993</v>
      </c>
      <c r="P246" t="s">
        <v>660</v>
      </c>
      <c r="AA246">
        <v>40.788409999999999</v>
      </c>
      <c r="AB246">
        <v>-86.771069999999995</v>
      </c>
      <c r="AC246">
        <v>8</v>
      </c>
      <c r="AD246">
        <v>1</v>
      </c>
      <c r="AE246">
        <v>2023</v>
      </c>
      <c r="AF246" t="b">
        <v>0</v>
      </c>
      <c r="AG246" s="19">
        <v>45139</v>
      </c>
    </row>
    <row r="247" spans="1:33" x14ac:dyDescent="0.25">
      <c r="A247" s="25">
        <v>10246</v>
      </c>
      <c r="B247" t="s">
        <v>263</v>
      </c>
      <c r="C247" t="s">
        <v>569</v>
      </c>
      <c r="D247" s="27">
        <v>4112</v>
      </c>
      <c r="E247" s="27">
        <v>12</v>
      </c>
      <c r="F247" s="27"/>
      <c r="G247" s="27"/>
      <c r="H247" t="s">
        <v>18</v>
      </c>
      <c r="I247" s="24" t="s">
        <v>8</v>
      </c>
      <c r="K247">
        <v>2.9499999999999998E-2</v>
      </c>
      <c r="M247">
        <v>0.1085</v>
      </c>
      <c r="N247" t="s">
        <v>660</v>
      </c>
      <c r="O247">
        <v>60.7</v>
      </c>
      <c r="P247" t="s">
        <v>660</v>
      </c>
      <c r="AA247">
        <v>40.781559999999999</v>
      </c>
      <c r="AB247">
        <v>-86.762090000000001</v>
      </c>
      <c r="AC247">
        <v>8</v>
      </c>
      <c r="AD247">
        <v>1</v>
      </c>
      <c r="AE247">
        <v>2023</v>
      </c>
      <c r="AF247" t="b">
        <v>0</v>
      </c>
      <c r="AG247" s="19">
        <v>45139</v>
      </c>
    </row>
    <row r="248" spans="1:33" x14ac:dyDescent="0.25">
      <c r="A248" s="25">
        <v>10247</v>
      </c>
      <c r="B248" t="s">
        <v>264</v>
      </c>
      <c r="C248" t="s">
        <v>562</v>
      </c>
      <c r="D248" s="27">
        <v>4104</v>
      </c>
      <c r="E248" s="27">
        <v>4</v>
      </c>
      <c r="F248" s="27"/>
      <c r="G248" s="27"/>
      <c r="H248" t="s">
        <v>18</v>
      </c>
      <c r="I248" s="24" t="s">
        <v>8</v>
      </c>
      <c r="K248">
        <v>6.4999999999999997E-3</v>
      </c>
      <c r="M248">
        <v>0.38950000000000001</v>
      </c>
      <c r="N248" t="s">
        <v>660</v>
      </c>
      <c r="O248">
        <v>39.244999999999997</v>
      </c>
      <c r="P248" t="s">
        <v>660</v>
      </c>
      <c r="AA248">
        <v>40.847639999999998</v>
      </c>
      <c r="AB248">
        <v>-86.81326</v>
      </c>
      <c r="AC248">
        <v>8</v>
      </c>
      <c r="AD248">
        <v>1</v>
      </c>
      <c r="AE248">
        <v>2023</v>
      </c>
      <c r="AF248" t="b">
        <v>0</v>
      </c>
      <c r="AG248" s="19">
        <v>45139</v>
      </c>
    </row>
    <row r="249" spans="1:33" x14ac:dyDescent="0.25">
      <c r="A249" s="25">
        <v>10248</v>
      </c>
      <c r="B249" t="s">
        <v>265</v>
      </c>
      <c r="C249" t="s">
        <v>570</v>
      </c>
      <c r="D249" s="27">
        <v>4114</v>
      </c>
      <c r="E249" s="27">
        <v>14</v>
      </c>
      <c r="F249" s="27"/>
      <c r="G249" s="27"/>
      <c r="H249" t="s">
        <v>18</v>
      </c>
      <c r="I249" s="24" t="s">
        <v>8</v>
      </c>
      <c r="K249">
        <v>1.3965000000000001</v>
      </c>
      <c r="M249">
        <v>7.8E-2</v>
      </c>
      <c r="N249" t="s">
        <v>660</v>
      </c>
      <c r="O249">
        <v>24.734999999999999</v>
      </c>
      <c r="P249" t="s">
        <v>660</v>
      </c>
      <c r="AA249">
        <v>40.8065</v>
      </c>
      <c r="AB249">
        <v>-86.7851</v>
      </c>
      <c r="AC249">
        <v>8</v>
      </c>
      <c r="AD249">
        <v>1</v>
      </c>
      <c r="AE249">
        <v>2023</v>
      </c>
      <c r="AF249" t="b">
        <v>0</v>
      </c>
      <c r="AG249" s="19">
        <v>45139</v>
      </c>
    </row>
    <row r="250" spans="1:33" x14ac:dyDescent="0.25">
      <c r="A250" s="25">
        <v>10249</v>
      </c>
      <c r="B250" t="s">
        <v>266</v>
      </c>
      <c r="C250" t="s">
        <v>571</v>
      </c>
      <c r="D250" s="27">
        <v>4115</v>
      </c>
      <c r="E250" s="27">
        <v>15</v>
      </c>
      <c r="F250" s="27"/>
      <c r="G250" s="27"/>
      <c r="H250" t="s">
        <v>18</v>
      </c>
      <c r="I250" s="24" t="s">
        <v>8</v>
      </c>
      <c r="M250">
        <v>8.4000000000000005E-2</v>
      </c>
      <c r="N250" t="s">
        <v>660</v>
      </c>
      <c r="O250">
        <v>73.995000000000005</v>
      </c>
      <c r="P250" t="s">
        <v>660</v>
      </c>
      <c r="AA250">
        <v>40.80003</v>
      </c>
      <c r="AB250">
        <v>-86.779110000000003</v>
      </c>
      <c r="AC250">
        <v>8</v>
      </c>
      <c r="AD250">
        <v>1</v>
      </c>
      <c r="AE250">
        <v>2023</v>
      </c>
      <c r="AF250" t="b">
        <v>0</v>
      </c>
      <c r="AG250" s="19">
        <v>45139</v>
      </c>
    </row>
    <row r="251" spans="1:33" x14ac:dyDescent="0.25">
      <c r="A251" s="25">
        <v>10250</v>
      </c>
      <c r="B251" t="s">
        <v>267</v>
      </c>
      <c r="C251" t="s">
        <v>267</v>
      </c>
      <c r="D251" s="27">
        <v>3101</v>
      </c>
      <c r="E251" s="27">
        <v>1</v>
      </c>
      <c r="F251" s="27"/>
      <c r="G251" s="27"/>
      <c r="H251" t="s">
        <v>19</v>
      </c>
      <c r="I251" s="24" t="s">
        <v>8</v>
      </c>
      <c r="K251">
        <v>2.3264999999999998</v>
      </c>
      <c r="N251" t="s">
        <v>660</v>
      </c>
      <c r="O251" t="s">
        <v>660</v>
      </c>
      <c r="P251" t="s">
        <v>660</v>
      </c>
      <c r="AA251">
        <v>40.7727</v>
      </c>
      <c r="AB251">
        <v>-85.644385</v>
      </c>
      <c r="AC251">
        <v>8</v>
      </c>
      <c r="AD251">
        <v>4</v>
      </c>
      <c r="AE251">
        <v>2023</v>
      </c>
      <c r="AF251" t="b">
        <v>0</v>
      </c>
      <c r="AG251" s="19">
        <v>45142</v>
      </c>
    </row>
    <row r="252" spans="1:33" x14ac:dyDescent="0.25">
      <c r="A252" s="25">
        <v>10251</v>
      </c>
      <c r="B252" t="s">
        <v>268</v>
      </c>
      <c r="C252" t="s">
        <v>268</v>
      </c>
      <c r="D252" s="27">
        <v>3102</v>
      </c>
      <c r="E252" s="27">
        <v>2</v>
      </c>
      <c r="F252" s="27"/>
      <c r="G252" s="27"/>
      <c r="H252" t="s">
        <v>19</v>
      </c>
      <c r="I252" s="24" t="s">
        <v>8</v>
      </c>
      <c r="K252">
        <v>2.5015000000000001</v>
      </c>
      <c r="N252" t="s">
        <v>660</v>
      </c>
      <c r="O252" t="s">
        <v>660</v>
      </c>
      <c r="P252" t="s">
        <v>660</v>
      </c>
      <c r="AA252">
        <v>40.771228999999998</v>
      </c>
      <c r="AB252">
        <v>-85.647807999999998</v>
      </c>
      <c r="AC252">
        <v>8</v>
      </c>
      <c r="AD252">
        <v>4</v>
      </c>
      <c r="AE252">
        <v>2023</v>
      </c>
      <c r="AF252" t="b">
        <v>0</v>
      </c>
      <c r="AG252" s="19">
        <v>45142</v>
      </c>
    </row>
    <row r="253" spans="1:33" x14ac:dyDescent="0.25">
      <c r="A253" s="25">
        <v>10252</v>
      </c>
      <c r="B253" t="s">
        <v>269</v>
      </c>
      <c r="C253" t="s">
        <v>269</v>
      </c>
      <c r="D253" s="27">
        <v>3103</v>
      </c>
      <c r="E253" s="27">
        <v>3</v>
      </c>
      <c r="F253" s="27"/>
      <c r="G253" s="27"/>
      <c r="H253" t="s">
        <v>19</v>
      </c>
      <c r="I253" s="24" t="s">
        <v>8</v>
      </c>
      <c r="K253">
        <v>2.6509999999999998</v>
      </c>
      <c r="N253" t="s">
        <v>660</v>
      </c>
      <c r="O253" t="s">
        <v>660</v>
      </c>
      <c r="P253" t="s">
        <v>660</v>
      </c>
      <c r="AA253">
        <v>40.780830000000002</v>
      </c>
      <c r="AB253">
        <v>-85.644176000000002</v>
      </c>
      <c r="AC253">
        <v>8</v>
      </c>
      <c r="AD253">
        <v>4</v>
      </c>
      <c r="AE253">
        <v>2023</v>
      </c>
      <c r="AF253" t="b">
        <v>0</v>
      </c>
      <c r="AG253" s="19">
        <v>45142</v>
      </c>
    </row>
    <row r="254" spans="1:33" x14ac:dyDescent="0.25">
      <c r="A254" s="25">
        <v>10253</v>
      </c>
      <c r="B254" t="s">
        <v>270</v>
      </c>
      <c r="C254" t="s">
        <v>270</v>
      </c>
      <c r="D254" s="27">
        <v>3104</v>
      </c>
      <c r="E254" s="27">
        <v>4</v>
      </c>
      <c r="F254" s="27"/>
      <c r="G254" s="27"/>
      <c r="H254" t="s">
        <v>19</v>
      </c>
      <c r="I254" s="24" t="s">
        <v>8</v>
      </c>
      <c r="K254">
        <v>2.5234999999999999</v>
      </c>
      <c r="N254" t="s">
        <v>660</v>
      </c>
      <c r="O254" t="s">
        <v>660</v>
      </c>
      <c r="P254" t="s">
        <v>660</v>
      </c>
      <c r="AA254">
        <v>40.783552999999998</v>
      </c>
      <c r="AB254">
        <v>-85.638116999999994</v>
      </c>
      <c r="AC254">
        <v>8</v>
      </c>
      <c r="AD254">
        <v>4</v>
      </c>
      <c r="AE254">
        <v>2023</v>
      </c>
      <c r="AF254" t="b">
        <v>0</v>
      </c>
      <c r="AG254" s="19">
        <v>45142</v>
      </c>
    </row>
    <row r="255" spans="1:33" x14ac:dyDescent="0.25">
      <c r="A255" s="25">
        <v>10254</v>
      </c>
      <c r="B255" t="s">
        <v>271</v>
      </c>
      <c r="C255" t="s">
        <v>271</v>
      </c>
      <c r="D255" s="27">
        <v>3105</v>
      </c>
      <c r="E255" s="27">
        <v>5</v>
      </c>
      <c r="F255" s="27"/>
      <c r="G255" s="27"/>
      <c r="H255" t="s">
        <v>19</v>
      </c>
      <c r="I255" s="24" t="s">
        <v>8</v>
      </c>
      <c r="K255">
        <v>2.7945000000000002</v>
      </c>
      <c r="N255" t="s">
        <v>660</v>
      </c>
      <c r="O255" t="s">
        <v>660</v>
      </c>
      <c r="P255" t="s">
        <v>660</v>
      </c>
      <c r="AA255">
        <v>40.774898</v>
      </c>
      <c r="AB255">
        <v>-85.623652000000007</v>
      </c>
      <c r="AC255">
        <v>8</v>
      </c>
      <c r="AD255">
        <v>4</v>
      </c>
      <c r="AE255">
        <v>2023</v>
      </c>
      <c r="AF255" t="b">
        <v>0</v>
      </c>
      <c r="AG255" s="19">
        <v>45142</v>
      </c>
    </row>
    <row r="256" spans="1:33" x14ac:dyDescent="0.25">
      <c r="A256" s="25">
        <v>10255</v>
      </c>
      <c r="B256" t="s">
        <v>272</v>
      </c>
      <c r="C256" t="s">
        <v>272</v>
      </c>
      <c r="D256" s="27">
        <v>3106</v>
      </c>
      <c r="E256" s="27">
        <v>6</v>
      </c>
      <c r="F256" s="27"/>
      <c r="G256" s="27"/>
      <c r="H256" t="s">
        <v>19</v>
      </c>
      <c r="I256" s="24" t="s">
        <v>8</v>
      </c>
      <c r="K256">
        <v>2.7524999999999999</v>
      </c>
      <c r="N256" t="s">
        <v>660</v>
      </c>
      <c r="O256" t="s">
        <v>660</v>
      </c>
      <c r="P256" t="s">
        <v>660</v>
      </c>
      <c r="AA256">
        <v>40.775556000000002</v>
      </c>
      <c r="AB256">
        <v>-85.606223999999997</v>
      </c>
      <c r="AC256">
        <v>8</v>
      </c>
      <c r="AD256">
        <v>4</v>
      </c>
      <c r="AE256">
        <v>2023</v>
      </c>
      <c r="AF256" t="b">
        <v>0</v>
      </c>
      <c r="AG256" s="19">
        <v>45142</v>
      </c>
    </row>
    <row r="257" spans="1:33" x14ac:dyDescent="0.25">
      <c r="A257" s="25">
        <v>10256</v>
      </c>
      <c r="B257" t="s">
        <v>273</v>
      </c>
      <c r="C257" t="s">
        <v>273</v>
      </c>
      <c r="D257" s="27">
        <v>3107</v>
      </c>
      <c r="E257" s="27">
        <v>7</v>
      </c>
      <c r="F257" s="27"/>
      <c r="G257" s="27"/>
      <c r="H257" t="s">
        <v>19</v>
      </c>
      <c r="I257" s="24" t="s">
        <v>8</v>
      </c>
      <c r="K257">
        <v>2.3315000000000001</v>
      </c>
      <c r="N257" t="s">
        <v>660</v>
      </c>
      <c r="O257" t="s">
        <v>660</v>
      </c>
      <c r="P257" t="s">
        <v>660</v>
      </c>
      <c r="AA257">
        <v>40.775584000000002</v>
      </c>
      <c r="AB257">
        <v>-85.581607000000005</v>
      </c>
      <c r="AC257">
        <v>8</v>
      </c>
      <c r="AD257">
        <v>4</v>
      </c>
      <c r="AE257">
        <v>2023</v>
      </c>
      <c r="AF257" t="b">
        <v>0</v>
      </c>
      <c r="AG257" s="19">
        <v>45142</v>
      </c>
    </row>
    <row r="258" spans="1:33" x14ac:dyDescent="0.25">
      <c r="A258" s="25">
        <v>10257</v>
      </c>
      <c r="B258" t="s">
        <v>274</v>
      </c>
      <c r="C258" t="s">
        <v>274</v>
      </c>
      <c r="D258" s="27">
        <v>3108</v>
      </c>
      <c r="E258" s="27">
        <v>8</v>
      </c>
      <c r="F258" s="27"/>
      <c r="G258" s="27"/>
      <c r="H258" t="s">
        <v>19</v>
      </c>
      <c r="I258" s="24" t="s">
        <v>8</v>
      </c>
      <c r="K258">
        <v>2.7509999999999999</v>
      </c>
      <c r="N258" t="s">
        <v>660</v>
      </c>
      <c r="O258" t="s">
        <v>660</v>
      </c>
      <c r="P258" t="s">
        <v>660</v>
      </c>
      <c r="AA258">
        <v>40.768312999999999</v>
      </c>
      <c r="AB258">
        <v>-85.597781999999995</v>
      </c>
      <c r="AC258">
        <v>8</v>
      </c>
      <c r="AD258">
        <v>4</v>
      </c>
      <c r="AE258">
        <v>2023</v>
      </c>
      <c r="AF258" t="b">
        <v>0</v>
      </c>
      <c r="AG258" s="19">
        <v>45142</v>
      </c>
    </row>
    <row r="259" spans="1:33" x14ac:dyDescent="0.25">
      <c r="A259" s="25">
        <v>10258</v>
      </c>
      <c r="B259" t="s">
        <v>275</v>
      </c>
      <c r="C259" t="s">
        <v>275</v>
      </c>
      <c r="D259" s="27">
        <v>3109</v>
      </c>
      <c r="E259" s="27">
        <v>9</v>
      </c>
      <c r="F259" s="27"/>
      <c r="G259" s="27"/>
      <c r="H259" t="s">
        <v>19</v>
      </c>
      <c r="I259" s="24" t="s">
        <v>8</v>
      </c>
      <c r="K259">
        <v>2.9889999999999999</v>
      </c>
      <c r="N259" t="s">
        <v>660</v>
      </c>
      <c r="O259" t="s">
        <v>660</v>
      </c>
      <c r="P259" t="s">
        <v>660</v>
      </c>
      <c r="AA259">
        <v>40.757067999999997</v>
      </c>
      <c r="AB259">
        <v>-85.595474999999993</v>
      </c>
      <c r="AC259">
        <v>8</v>
      </c>
      <c r="AD259">
        <v>4</v>
      </c>
      <c r="AE259">
        <v>2023</v>
      </c>
      <c r="AF259" t="b">
        <v>0</v>
      </c>
      <c r="AG259" s="19">
        <v>45142</v>
      </c>
    </row>
    <row r="260" spans="1:33" x14ac:dyDescent="0.25">
      <c r="A260" s="25">
        <v>10259</v>
      </c>
      <c r="B260" t="s">
        <v>276</v>
      </c>
      <c r="C260" t="s">
        <v>276</v>
      </c>
      <c r="D260" s="27">
        <v>3110</v>
      </c>
      <c r="E260" s="27">
        <v>10</v>
      </c>
      <c r="F260" s="27"/>
      <c r="G260" s="27"/>
      <c r="H260" t="s">
        <v>19</v>
      </c>
      <c r="I260" s="24" t="s">
        <v>8</v>
      </c>
      <c r="K260">
        <v>3.024</v>
      </c>
      <c r="N260" t="s">
        <v>660</v>
      </c>
      <c r="O260" t="s">
        <v>660</v>
      </c>
      <c r="P260" t="s">
        <v>660</v>
      </c>
      <c r="AA260">
        <v>40.755789999999998</v>
      </c>
      <c r="AB260">
        <v>-85.582571000000002</v>
      </c>
      <c r="AC260">
        <v>8</v>
      </c>
      <c r="AD260">
        <v>4</v>
      </c>
      <c r="AE260">
        <v>2023</v>
      </c>
      <c r="AF260" t="b">
        <v>0</v>
      </c>
      <c r="AG260" s="19">
        <v>45142</v>
      </c>
    </row>
    <row r="261" spans="1:33" x14ac:dyDescent="0.25">
      <c r="A261" s="25">
        <v>10260</v>
      </c>
      <c r="B261" t="s">
        <v>277</v>
      </c>
      <c r="C261" t="s">
        <v>277</v>
      </c>
      <c r="D261" s="27">
        <v>3111</v>
      </c>
      <c r="E261" s="27">
        <v>11</v>
      </c>
      <c r="F261" s="27"/>
      <c r="G261" s="27"/>
      <c r="H261" t="s">
        <v>19</v>
      </c>
      <c r="I261" s="24" t="s">
        <v>8</v>
      </c>
      <c r="K261">
        <v>2.3935</v>
      </c>
      <c r="N261" t="s">
        <v>660</v>
      </c>
      <c r="O261" t="s">
        <v>660</v>
      </c>
      <c r="P261" t="s">
        <v>660</v>
      </c>
      <c r="AA261">
        <v>40.745711999999997</v>
      </c>
      <c r="AB261">
        <v>-85.569688999999997</v>
      </c>
      <c r="AC261">
        <v>8</v>
      </c>
      <c r="AD261">
        <v>4</v>
      </c>
      <c r="AE261">
        <v>2023</v>
      </c>
      <c r="AF261" t="b">
        <v>0</v>
      </c>
      <c r="AG261" s="19">
        <v>45142</v>
      </c>
    </row>
    <row r="262" spans="1:33" x14ac:dyDescent="0.25">
      <c r="A262" s="25">
        <v>10261</v>
      </c>
      <c r="B262" t="s">
        <v>278</v>
      </c>
      <c r="C262" t="s">
        <v>278</v>
      </c>
      <c r="D262" s="27">
        <v>3112</v>
      </c>
      <c r="E262" s="27">
        <v>12</v>
      </c>
      <c r="F262" s="27"/>
      <c r="G262" s="27"/>
      <c r="H262" t="s">
        <v>19</v>
      </c>
      <c r="I262" s="24" t="s">
        <v>8</v>
      </c>
      <c r="K262">
        <v>1.2909999999999999</v>
      </c>
      <c r="N262" t="s">
        <v>660</v>
      </c>
      <c r="O262" t="s">
        <v>660</v>
      </c>
      <c r="P262" t="s">
        <v>660</v>
      </c>
      <c r="AA262">
        <v>40.747199999999999</v>
      </c>
      <c r="AB262">
        <v>-85.549642000000006</v>
      </c>
      <c r="AC262">
        <v>8</v>
      </c>
      <c r="AD262">
        <v>4</v>
      </c>
      <c r="AE262">
        <v>2023</v>
      </c>
      <c r="AF262" t="b">
        <v>0</v>
      </c>
      <c r="AG262" s="19">
        <v>45142</v>
      </c>
    </row>
    <row r="263" spans="1:33" x14ac:dyDescent="0.25">
      <c r="A263" s="25">
        <v>10262</v>
      </c>
      <c r="B263" t="s">
        <v>279</v>
      </c>
      <c r="C263" t="s">
        <v>279</v>
      </c>
      <c r="D263" s="27">
        <v>3113</v>
      </c>
      <c r="E263" s="27">
        <v>13</v>
      </c>
      <c r="F263" s="27"/>
      <c r="G263" s="27"/>
      <c r="H263" t="s">
        <v>19</v>
      </c>
      <c r="I263" s="33" t="s">
        <v>8</v>
      </c>
      <c r="K263">
        <v>2.6970000000000001</v>
      </c>
      <c r="N263" t="s">
        <v>660</v>
      </c>
      <c r="O263" t="s">
        <v>660</v>
      </c>
      <c r="P263" t="s">
        <v>660</v>
      </c>
      <c r="AA263">
        <v>40.780724999999997</v>
      </c>
      <c r="AB263">
        <v>-85.637589000000006</v>
      </c>
      <c r="AC263">
        <v>8</v>
      </c>
      <c r="AD263">
        <v>4</v>
      </c>
      <c r="AE263">
        <v>2023</v>
      </c>
      <c r="AF263" t="b">
        <v>0</v>
      </c>
      <c r="AG263" s="19">
        <v>45142</v>
      </c>
    </row>
    <row r="264" spans="1:33" x14ac:dyDescent="0.25">
      <c r="A264" s="25">
        <v>10263</v>
      </c>
      <c r="B264" t="s">
        <v>280</v>
      </c>
      <c r="C264" t="s">
        <v>572</v>
      </c>
      <c r="D264" s="27">
        <v>1101</v>
      </c>
      <c r="E264" s="27">
        <v>1</v>
      </c>
      <c r="F264" s="27"/>
      <c r="G264" s="27"/>
      <c r="H264" t="s">
        <v>508</v>
      </c>
      <c r="I264" s="33" t="s">
        <v>8</v>
      </c>
      <c r="K264">
        <v>0.03</v>
      </c>
      <c r="N264" t="s">
        <v>660</v>
      </c>
      <c r="O264" t="s">
        <v>660</v>
      </c>
      <c r="P264" t="s">
        <v>660</v>
      </c>
      <c r="AA264">
        <v>40.73124</v>
      </c>
      <c r="AB264">
        <v>-86.755099999999999</v>
      </c>
      <c r="AC264">
        <v>9</v>
      </c>
      <c r="AD264">
        <v>22</v>
      </c>
      <c r="AE264">
        <v>2023</v>
      </c>
      <c r="AF264" t="b">
        <v>0</v>
      </c>
      <c r="AG264" s="19">
        <v>45191</v>
      </c>
    </row>
    <row r="265" spans="1:33" x14ac:dyDescent="0.25">
      <c r="A265" s="25">
        <v>10264</v>
      </c>
      <c r="B265" t="s">
        <v>281</v>
      </c>
      <c r="C265" t="s">
        <v>573</v>
      </c>
      <c r="D265" s="27">
        <v>1102</v>
      </c>
      <c r="E265" s="27">
        <v>2</v>
      </c>
      <c r="F265" s="27"/>
      <c r="G265" s="27"/>
      <c r="H265" t="s">
        <v>508</v>
      </c>
      <c r="I265" s="33" t="s">
        <v>8</v>
      </c>
      <c r="K265">
        <v>2.8500000000000001E-2</v>
      </c>
      <c r="N265" t="s">
        <v>660</v>
      </c>
      <c r="O265" t="s">
        <v>660</v>
      </c>
      <c r="P265" t="s">
        <v>660</v>
      </c>
      <c r="AA265">
        <v>40.723280000000003</v>
      </c>
      <c r="AB265">
        <v>-86.756259999999997</v>
      </c>
      <c r="AC265">
        <v>9</v>
      </c>
      <c r="AD265">
        <v>22</v>
      </c>
      <c r="AE265">
        <v>2023</v>
      </c>
      <c r="AF265" t="b">
        <v>0</v>
      </c>
      <c r="AG265" s="19">
        <v>45191</v>
      </c>
    </row>
    <row r="266" spans="1:33" x14ac:dyDescent="0.25">
      <c r="A266" s="25">
        <v>10265</v>
      </c>
      <c r="B266" t="s">
        <v>282</v>
      </c>
      <c r="C266" t="s">
        <v>574</v>
      </c>
      <c r="D266" s="27">
        <v>1103</v>
      </c>
      <c r="E266" s="27">
        <v>3</v>
      </c>
      <c r="F266" s="27"/>
      <c r="G266" s="27"/>
      <c r="H266" t="s">
        <v>508</v>
      </c>
      <c r="I266" s="33" t="s">
        <v>8</v>
      </c>
      <c r="K266">
        <v>1.6500000000000001E-2</v>
      </c>
      <c r="N266" t="s">
        <v>660</v>
      </c>
      <c r="O266" t="s">
        <v>660</v>
      </c>
      <c r="P266" t="s">
        <v>660</v>
      </c>
      <c r="AA266">
        <v>40.710569999999997</v>
      </c>
      <c r="AB266">
        <v>-86.755129999999994</v>
      </c>
      <c r="AC266">
        <v>9</v>
      </c>
      <c r="AD266">
        <v>22</v>
      </c>
      <c r="AE266">
        <v>2023</v>
      </c>
      <c r="AF266" t="b">
        <v>0</v>
      </c>
      <c r="AG266" s="19">
        <v>45191</v>
      </c>
    </row>
    <row r="267" spans="1:33" s="50" customFormat="1" x14ac:dyDescent="0.25">
      <c r="A267" s="46">
        <v>10266</v>
      </c>
      <c r="B267" s="47" t="s">
        <v>283</v>
      </c>
      <c r="C267" s="47" t="s">
        <v>575</v>
      </c>
      <c r="D267" s="48">
        <v>1111</v>
      </c>
      <c r="E267" s="48">
        <v>11</v>
      </c>
      <c r="F267" s="48"/>
      <c r="G267" s="48"/>
      <c r="H267" s="47" t="s">
        <v>508</v>
      </c>
      <c r="I267" s="49" t="s">
        <v>8</v>
      </c>
      <c r="K267" s="50">
        <v>0.48299999999999998</v>
      </c>
      <c r="N267" s="50" t="s">
        <v>660</v>
      </c>
      <c r="O267" s="50" t="s">
        <v>660</v>
      </c>
      <c r="P267" s="50" t="s">
        <v>660</v>
      </c>
      <c r="AA267" s="50">
        <v>40.698450000000001</v>
      </c>
      <c r="AB267" s="50">
        <v>-86.761899</v>
      </c>
      <c r="AC267" s="50">
        <v>9</v>
      </c>
      <c r="AD267" s="50">
        <v>22</v>
      </c>
      <c r="AE267" s="50">
        <v>2023</v>
      </c>
      <c r="AF267" s="50" t="b">
        <v>0</v>
      </c>
      <c r="AG267" s="51">
        <v>45191</v>
      </c>
    </row>
    <row r="268" spans="1:33" x14ac:dyDescent="0.25">
      <c r="A268" s="25">
        <v>10267</v>
      </c>
      <c r="B268" s="26" t="s">
        <v>287</v>
      </c>
      <c r="C268" s="26" t="s">
        <v>287</v>
      </c>
      <c r="D268" s="29" t="s">
        <v>456</v>
      </c>
      <c r="E268" s="29">
        <v>1</v>
      </c>
      <c r="F268" s="23"/>
      <c r="G268" s="23"/>
      <c r="H268" s="26" t="s">
        <v>17</v>
      </c>
      <c r="I268" s="26" t="s">
        <v>8</v>
      </c>
      <c r="N268" t="s">
        <v>509</v>
      </c>
      <c r="O268" t="s">
        <v>509</v>
      </c>
      <c r="P268" t="s">
        <v>509</v>
      </c>
      <c r="AC268">
        <f t="shared" ref="AC268:AC299" si="6">MONTH(AG268)</f>
        <v>5</v>
      </c>
      <c r="AD268">
        <f t="shared" ref="AD268:AD299" si="7">DAY(AG268)</f>
        <v>16</v>
      </c>
      <c r="AE268">
        <f t="shared" ref="AE268:AE299" si="8">YEAR(AG268)</f>
        <v>2024</v>
      </c>
      <c r="AG268" s="19">
        <v>45428</v>
      </c>
    </row>
    <row r="269" spans="1:33" x14ac:dyDescent="0.25">
      <c r="A269" s="25">
        <v>10268</v>
      </c>
      <c r="B269" t="s">
        <v>288</v>
      </c>
      <c r="C269" t="s">
        <v>288</v>
      </c>
      <c r="D269" s="27" t="s">
        <v>457</v>
      </c>
      <c r="E269" s="27">
        <v>2</v>
      </c>
      <c r="F269" s="23"/>
      <c r="G269" s="23"/>
      <c r="H269" t="s">
        <v>17</v>
      </c>
      <c r="I269" t="s">
        <v>8</v>
      </c>
      <c r="N269" t="s">
        <v>509</v>
      </c>
      <c r="O269" t="s">
        <v>509</v>
      </c>
      <c r="P269" t="s">
        <v>509</v>
      </c>
      <c r="AC269">
        <f t="shared" si="6"/>
        <v>5</v>
      </c>
      <c r="AD269">
        <f t="shared" si="7"/>
        <v>16</v>
      </c>
      <c r="AE269">
        <f t="shared" si="8"/>
        <v>2024</v>
      </c>
      <c r="AG269" s="19">
        <v>45428</v>
      </c>
    </row>
    <row r="270" spans="1:33" x14ac:dyDescent="0.25">
      <c r="A270" s="25">
        <v>10269</v>
      </c>
      <c r="B270" t="s">
        <v>289</v>
      </c>
      <c r="C270" t="s">
        <v>289</v>
      </c>
      <c r="D270" s="27" t="s">
        <v>458</v>
      </c>
      <c r="E270" s="27">
        <v>3</v>
      </c>
      <c r="F270" s="23"/>
      <c r="G270" s="23"/>
      <c r="H270" t="s">
        <v>17</v>
      </c>
      <c r="I270" t="s">
        <v>8</v>
      </c>
      <c r="N270" t="s">
        <v>509</v>
      </c>
      <c r="O270" t="s">
        <v>509</v>
      </c>
      <c r="P270" t="s">
        <v>509</v>
      </c>
      <c r="AC270">
        <f t="shared" si="6"/>
        <v>5</v>
      </c>
      <c r="AD270">
        <f t="shared" si="7"/>
        <v>16</v>
      </c>
      <c r="AE270">
        <f t="shared" si="8"/>
        <v>2024</v>
      </c>
      <c r="AG270" s="19">
        <v>45428</v>
      </c>
    </row>
    <row r="271" spans="1:33" x14ac:dyDescent="0.25">
      <c r="A271" s="25">
        <v>10270</v>
      </c>
      <c r="B271" t="s">
        <v>290</v>
      </c>
      <c r="C271" t="s">
        <v>290</v>
      </c>
      <c r="D271" s="27" t="s">
        <v>459</v>
      </c>
      <c r="E271" s="27">
        <v>4</v>
      </c>
      <c r="F271" s="23"/>
      <c r="G271" s="23"/>
      <c r="H271" t="s">
        <v>17</v>
      </c>
      <c r="I271" t="s">
        <v>8</v>
      </c>
      <c r="N271" t="s">
        <v>509</v>
      </c>
      <c r="O271" t="s">
        <v>509</v>
      </c>
      <c r="P271" t="s">
        <v>509</v>
      </c>
      <c r="AC271">
        <f t="shared" si="6"/>
        <v>5</v>
      </c>
      <c r="AD271">
        <f t="shared" si="7"/>
        <v>16</v>
      </c>
      <c r="AE271">
        <f t="shared" si="8"/>
        <v>2024</v>
      </c>
      <c r="AG271" s="19">
        <v>45428</v>
      </c>
    </row>
    <row r="272" spans="1:33" x14ac:dyDescent="0.25">
      <c r="A272" s="25">
        <v>10271</v>
      </c>
      <c r="B272" t="s">
        <v>291</v>
      </c>
      <c r="C272" t="s">
        <v>291</v>
      </c>
      <c r="D272" s="27" t="s">
        <v>460</v>
      </c>
      <c r="E272" s="27">
        <v>5</v>
      </c>
      <c r="F272" s="23"/>
      <c r="G272" s="23"/>
      <c r="H272" t="s">
        <v>17</v>
      </c>
      <c r="I272" t="s">
        <v>8</v>
      </c>
      <c r="N272" t="s">
        <v>509</v>
      </c>
      <c r="O272" t="s">
        <v>509</v>
      </c>
      <c r="P272" t="s">
        <v>509</v>
      </c>
      <c r="AC272">
        <f t="shared" si="6"/>
        <v>5</v>
      </c>
      <c r="AD272">
        <f t="shared" si="7"/>
        <v>16</v>
      </c>
      <c r="AE272">
        <f t="shared" si="8"/>
        <v>2024</v>
      </c>
      <c r="AG272" s="19">
        <v>45428</v>
      </c>
    </row>
    <row r="273" spans="1:33" x14ac:dyDescent="0.25">
      <c r="A273" s="25">
        <v>10272</v>
      </c>
      <c r="B273" t="s">
        <v>292</v>
      </c>
      <c r="C273" t="s">
        <v>292</v>
      </c>
      <c r="D273" s="27" t="s">
        <v>461</v>
      </c>
      <c r="E273" s="27">
        <v>6</v>
      </c>
      <c r="F273" s="23"/>
      <c r="G273" s="23"/>
      <c r="H273" t="s">
        <v>17</v>
      </c>
      <c r="I273" t="s">
        <v>8</v>
      </c>
      <c r="N273" t="s">
        <v>509</v>
      </c>
      <c r="O273" t="s">
        <v>509</v>
      </c>
      <c r="P273" t="s">
        <v>509</v>
      </c>
      <c r="AC273">
        <f t="shared" si="6"/>
        <v>5</v>
      </c>
      <c r="AD273">
        <f t="shared" si="7"/>
        <v>16</v>
      </c>
      <c r="AE273">
        <f t="shared" si="8"/>
        <v>2024</v>
      </c>
      <c r="AG273" s="19">
        <v>45428</v>
      </c>
    </row>
    <row r="274" spans="1:33" x14ac:dyDescent="0.25">
      <c r="A274" s="25">
        <v>10273</v>
      </c>
      <c r="B274" t="s">
        <v>293</v>
      </c>
      <c r="C274" t="s">
        <v>293</v>
      </c>
      <c r="D274" s="27" t="s">
        <v>462</v>
      </c>
      <c r="E274" s="27">
        <v>7</v>
      </c>
      <c r="F274" s="23"/>
      <c r="G274" s="23"/>
      <c r="H274" t="s">
        <v>17</v>
      </c>
      <c r="I274" t="s">
        <v>8</v>
      </c>
      <c r="N274" t="s">
        <v>509</v>
      </c>
      <c r="O274" t="s">
        <v>509</v>
      </c>
      <c r="P274" t="s">
        <v>509</v>
      </c>
      <c r="AC274">
        <f t="shared" si="6"/>
        <v>5</v>
      </c>
      <c r="AD274">
        <f t="shared" si="7"/>
        <v>16</v>
      </c>
      <c r="AE274">
        <f t="shared" si="8"/>
        <v>2024</v>
      </c>
      <c r="AG274" s="19">
        <v>45428</v>
      </c>
    </row>
    <row r="275" spans="1:33" x14ac:dyDescent="0.25">
      <c r="A275" s="25">
        <v>10274</v>
      </c>
      <c r="B275" t="s">
        <v>294</v>
      </c>
      <c r="C275" t="s">
        <v>294</v>
      </c>
      <c r="D275" s="27" t="s">
        <v>463</v>
      </c>
      <c r="E275" s="27">
        <v>8</v>
      </c>
      <c r="F275" s="23"/>
      <c r="G275" s="23"/>
      <c r="H275" t="s">
        <v>17</v>
      </c>
      <c r="I275" t="s">
        <v>8</v>
      </c>
      <c r="N275" t="s">
        <v>509</v>
      </c>
      <c r="O275" t="s">
        <v>509</v>
      </c>
      <c r="P275" t="s">
        <v>509</v>
      </c>
      <c r="AC275">
        <f t="shared" si="6"/>
        <v>5</v>
      </c>
      <c r="AD275">
        <f t="shared" si="7"/>
        <v>16</v>
      </c>
      <c r="AE275">
        <f t="shared" si="8"/>
        <v>2024</v>
      </c>
      <c r="AG275" s="19">
        <v>45428</v>
      </c>
    </row>
    <row r="276" spans="1:33" x14ac:dyDescent="0.25">
      <c r="A276" s="25">
        <v>10275</v>
      </c>
      <c r="B276" t="s">
        <v>295</v>
      </c>
      <c r="C276" t="s">
        <v>295</v>
      </c>
      <c r="D276" s="27" t="s">
        <v>464</v>
      </c>
      <c r="E276" s="27">
        <v>9</v>
      </c>
      <c r="F276" s="23"/>
      <c r="G276" s="23"/>
      <c r="H276" t="s">
        <v>17</v>
      </c>
      <c r="I276" t="s">
        <v>8</v>
      </c>
      <c r="N276" t="s">
        <v>509</v>
      </c>
      <c r="O276" t="s">
        <v>509</v>
      </c>
      <c r="P276" t="s">
        <v>509</v>
      </c>
      <c r="AC276">
        <f t="shared" si="6"/>
        <v>5</v>
      </c>
      <c r="AD276">
        <f t="shared" si="7"/>
        <v>16</v>
      </c>
      <c r="AE276">
        <f t="shared" si="8"/>
        <v>2024</v>
      </c>
      <c r="AG276" s="19">
        <v>45428</v>
      </c>
    </row>
    <row r="277" spans="1:33" x14ac:dyDescent="0.25">
      <c r="A277" s="25">
        <v>10276</v>
      </c>
      <c r="B277" t="s">
        <v>296</v>
      </c>
      <c r="C277" t="s">
        <v>296</v>
      </c>
      <c r="D277" s="27" t="s">
        <v>465</v>
      </c>
      <c r="E277" s="27">
        <v>10</v>
      </c>
      <c r="F277" s="23"/>
      <c r="G277" s="23"/>
      <c r="H277" t="s">
        <v>17</v>
      </c>
      <c r="I277" t="s">
        <v>8</v>
      </c>
      <c r="N277" t="s">
        <v>509</v>
      </c>
      <c r="O277" t="s">
        <v>509</v>
      </c>
      <c r="P277" t="s">
        <v>509</v>
      </c>
      <c r="AC277">
        <f t="shared" si="6"/>
        <v>5</v>
      </c>
      <c r="AD277">
        <f t="shared" si="7"/>
        <v>16</v>
      </c>
      <c r="AE277">
        <f t="shared" si="8"/>
        <v>2024</v>
      </c>
      <c r="AG277" s="19">
        <v>45428</v>
      </c>
    </row>
    <row r="278" spans="1:33" x14ac:dyDescent="0.25">
      <c r="A278" s="25">
        <v>10277</v>
      </c>
      <c r="B278" t="s">
        <v>297</v>
      </c>
      <c r="C278" t="s">
        <v>297</v>
      </c>
      <c r="D278" s="27" t="s">
        <v>466</v>
      </c>
      <c r="E278" s="27">
        <v>11</v>
      </c>
      <c r="F278" s="23"/>
      <c r="G278" s="23"/>
      <c r="H278" t="s">
        <v>17</v>
      </c>
      <c r="I278" t="s">
        <v>8</v>
      </c>
      <c r="N278" t="s">
        <v>509</v>
      </c>
      <c r="O278" t="s">
        <v>509</v>
      </c>
      <c r="P278" t="s">
        <v>509</v>
      </c>
      <c r="AC278">
        <f t="shared" si="6"/>
        <v>5</v>
      </c>
      <c r="AD278">
        <f t="shared" si="7"/>
        <v>16</v>
      </c>
      <c r="AE278">
        <f t="shared" si="8"/>
        <v>2024</v>
      </c>
      <c r="AG278" s="19">
        <v>45428</v>
      </c>
    </row>
    <row r="279" spans="1:33" x14ac:dyDescent="0.25">
      <c r="A279" s="25">
        <v>10278</v>
      </c>
      <c r="B279" t="s">
        <v>298</v>
      </c>
      <c r="C279" t="s">
        <v>298</v>
      </c>
      <c r="D279" s="27" t="s">
        <v>467</v>
      </c>
      <c r="E279" s="27">
        <v>12</v>
      </c>
      <c r="F279" s="23"/>
      <c r="G279" s="23"/>
      <c r="H279" t="s">
        <v>17</v>
      </c>
      <c r="I279" t="s">
        <v>8</v>
      </c>
      <c r="N279" t="s">
        <v>509</v>
      </c>
      <c r="O279" t="s">
        <v>509</v>
      </c>
      <c r="P279" t="s">
        <v>509</v>
      </c>
      <c r="AC279">
        <f t="shared" si="6"/>
        <v>5</v>
      </c>
      <c r="AD279">
        <f t="shared" si="7"/>
        <v>16</v>
      </c>
      <c r="AE279">
        <f t="shared" si="8"/>
        <v>2024</v>
      </c>
      <c r="AG279" s="19">
        <v>45428</v>
      </c>
    </row>
    <row r="280" spans="1:33" x14ac:dyDescent="0.25">
      <c r="A280" s="25">
        <v>10279</v>
      </c>
      <c r="B280" t="s">
        <v>299</v>
      </c>
      <c r="C280" t="s">
        <v>299</v>
      </c>
      <c r="D280" s="27" t="s">
        <v>468</v>
      </c>
      <c r="E280" s="27">
        <v>13</v>
      </c>
      <c r="F280" s="23"/>
      <c r="G280" s="23"/>
      <c r="H280" t="s">
        <v>17</v>
      </c>
      <c r="I280" t="s">
        <v>8</v>
      </c>
      <c r="N280" t="s">
        <v>509</v>
      </c>
      <c r="O280" t="s">
        <v>509</v>
      </c>
      <c r="P280" t="s">
        <v>509</v>
      </c>
      <c r="AC280">
        <f t="shared" si="6"/>
        <v>5</v>
      </c>
      <c r="AD280">
        <f t="shared" si="7"/>
        <v>16</v>
      </c>
      <c r="AE280">
        <f t="shared" si="8"/>
        <v>2024</v>
      </c>
      <c r="AG280" s="19">
        <v>45428</v>
      </c>
    </row>
    <row r="281" spans="1:33" x14ac:dyDescent="0.25">
      <c r="A281" s="25">
        <v>10280</v>
      </c>
      <c r="B281" t="s">
        <v>300</v>
      </c>
      <c r="C281" t="s">
        <v>300</v>
      </c>
      <c r="D281" s="27" t="s">
        <v>469</v>
      </c>
      <c r="E281" s="27">
        <v>1</v>
      </c>
      <c r="F281" s="56"/>
      <c r="G281" s="56"/>
      <c r="H281" t="s">
        <v>17</v>
      </c>
      <c r="I281" t="s">
        <v>9</v>
      </c>
      <c r="J281">
        <v>2.3699999999999999E-2</v>
      </c>
      <c r="K281">
        <v>2.3460000000000001</v>
      </c>
      <c r="L281">
        <v>2.1999999999999999E-2</v>
      </c>
      <c r="N281" t="s">
        <v>509</v>
      </c>
      <c r="O281">
        <v>15.24</v>
      </c>
      <c r="P281">
        <v>4.416666666666667</v>
      </c>
      <c r="Q281" s="111">
        <v>3.423036292706092</v>
      </c>
      <c r="R281" s="111">
        <v>1.417308304427668</v>
      </c>
      <c r="S281" s="52"/>
      <c r="T281" s="52"/>
      <c r="U281" s="52"/>
      <c r="V281" s="52"/>
      <c r="W281" s="52"/>
      <c r="X281" s="52"/>
      <c r="Y281" s="52"/>
      <c r="Z281" s="52"/>
      <c r="AC281">
        <f t="shared" si="6"/>
        <v>5</v>
      </c>
      <c r="AD281">
        <f t="shared" si="7"/>
        <v>30</v>
      </c>
      <c r="AE281">
        <f t="shared" si="8"/>
        <v>2024</v>
      </c>
      <c r="AG281" s="19">
        <v>45442</v>
      </c>
    </row>
    <row r="282" spans="1:33" x14ac:dyDescent="0.25">
      <c r="A282" s="25">
        <v>10281</v>
      </c>
      <c r="B282" t="s">
        <v>301</v>
      </c>
      <c r="C282" t="s">
        <v>301</v>
      </c>
      <c r="D282" s="27" t="s">
        <v>470</v>
      </c>
      <c r="E282" s="27">
        <v>2</v>
      </c>
      <c r="F282" s="56"/>
      <c r="G282" s="56"/>
      <c r="H282" t="s">
        <v>17</v>
      </c>
      <c r="I282" t="s">
        <v>9</v>
      </c>
      <c r="J282">
        <v>1.21E-2</v>
      </c>
      <c r="K282">
        <v>2.141</v>
      </c>
      <c r="L282">
        <v>2.1999999999999999E-2</v>
      </c>
      <c r="N282" t="s">
        <v>509</v>
      </c>
      <c r="O282">
        <v>30.76</v>
      </c>
      <c r="P282">
        <v>3.6766666666666672</v>
      </c>
      <c r="Q282">
        <v>3.6740972461472277</v>
      </c>
      <c r="R282">
        <v>1.360449160035367</v>
      </c>
      <c r="AC282">
        <f t="shared" si="6"/>
        <v>5</v>
      </c>
      <c r="AD282">
        <f t="shared" si="7"/>
        <v>30</v>
      </c>
      <c r="AE282">
        <f t="shared" si="8"/>
        <v>2024</v>
      </c>
      <c r="AG282" s="19">
        <v>45442</v>
      </c>
    </row>
    <row r="283" spans="1:33" x14ac:dyDescent="0.25">
      <c r="A283" s="25">
        <v>10282</v>
      </c>
      <c r="B283" t="s">
        <v>302</v>
      </c>
      <c r="C283" t="s">
        <v>302</v>
      </c>
      <c r="D283" s="27" t="s">
        <v>471</v>
      </c>
      <c r="E283" s="27">
        <v>3</v>
      </c>
      <c r="F283" s="56"/>
      <c r="G283" s="56"/>
      <c r="H283" t="s">
        <v>17</v>
      </c>
      <c r="I283" t="s">
        <v>9</v>
      </c>
      <c r="J283">
        <v>1.5299999999999999E-2</v>
      </c>
      <c r="K283">
        <v>2.3130000000000002</v>
      </c>
      <c r="L283">
        <v>2.8000000000000001E-2</v>
      </c>
      <c r="N283" t="s">
        <v>509</v>
      </c>
      <c r="O283">
        <v>24.08666666666667</v>
      </c>
      <c r="P283">
        <v>10.183333333333334</v>
      </c>
      <c r="Q283">
        <v>4.1235465996505454</v>
      </c>
      <c r="R283">
        <v>1.31583241515337</v>
      </c>
      <c r="AC283">
        <f t="shared" si="6"/>
        <v>5</v>
      </c>
      <c r="AD283">
        <f t="shared" si="7"/>
        <v>30</v>
      </c>
      <c r="AE283">
        <f t="shared" si="8"/>
        <v>2024</v>
      </c>
      <c r="AG283" s="19">
        <v>45442</v>
      </c>
    </row>
    <row r="284" spans="1:33" x14ac:dyDescent="0.25">
      <c r="A284" s="25">
        <v>10283</v>
      </c>
      <c r="B284" t="s">
        <v>303</v>
      </c>
      <c r="C284" t="s">
        <v>303</v>
      </c>
      <c r="D284" s="27" t="s">
        <v>472</v>
      </c>
      <c r="E284" s="27">
        <v>4</v>
      </c>
      <c r="F284" s="56"/>
      <c r="G284" s="56"/>
      <c r="H284" t="s">
        <v>17</v>
      </c>
      <c r="I284" t="s">
        <v>9</v>
      </c>
      <c r="J284">
        <v>1.35E-2</v>
      </c>
      <c r="K284">
        <v>2.08</v>
      </c>
      <c r="L284">
        <v>0.02</v>
      </c>
      <c r="N284" t="s">
        <v>509</v>
      </c>
      <c r="O284">
        <v>32.550000000000004</v>
      </c>
      <c r="P284">
        <v>8.5200000000000014</v>
      </c>
      <c r="Q284">
        <v>3.442268705288539</v>
      </c>
      <c r="R284">
        <v>1.2285032986465347</v>
      </c>
      <c r="AC284">
        <f t="shared" si="6"/>
        <v>5</v>
      </c>
      <c r="AD284">
        <f t="shared" si="7"/>
        <v>30</v>
      </c>
      <c r="AE284">
        <f t="shared" si="8"/>
        <v>2024</v>
      </c>
      <c r="AG284" s="19">
        <v>45442</v>
      </c>
    </row>
    <row r="285" spans="1:33" x14ac:dyDescent="0.25">
      <c r="A285" s="25">
        <v>10284</v>
      </c>
      <c r="B285" t="s">
        <v>304</v>
      </c>
      <c r="C285" t="s">
        <v>304</v>
      </c>
      <c r="D285" s="27" t="s">
        <v>473</v>
      </c>
      <c r="E285" s="27">
        <v>5</v>
      </c>
      <c r="F285" s="56"/>
      <c r="G285" s="56"/>
      <c r="H285" t="s">
        <v>17</v>
      </c>
      <c r="I285" t="s">
        <v>9</v>
      </c>
      <c r="J285">
        <v>1.29E-2</v>
      </c>
      <c r="K285">
        <v>2.2069999999999999</v>
      </c>
      <c r="L285">
        <v>0.02</v>
      </c>
      <c r="N285" t="s">
        <v>509</v>
      </c>
      <c r="O285">
        <v>55.443333333333335</v>
      </c>
      <c r="P285">
        <v>5.7366666666666672</v>
      </c>
      <c r="Q285">
        <v>3.2125193441684932</v>
      </c>
      <c r="R285">
        <v>1.0851311977147522</v>
      </c>
      <c r="AC285">
        <f t="shared" si="6"/>
        <v>5</v>
      </c>
      <c r="AD285">
        <f t="shared" si="7"/>
        <v>30</v>
      </c>
      <c r="AE285">
        <f t="shared" si="8"/>
        <v>2024</v>
      </c>
      <c r="AG285" s="19">
        <v>45442</v>
      </c>
    </row>
    <row r="286" spans="1:33" x14ac:dyDescent="0.25">
      <c r="A286" s="25">
        <v>10285</v>
      </c>
      <c r="B286" t="s">
        <v>305</v>
      </c>
      <c r="C286" t="s">
        <v>305</v>
      </c>
      <c r="D286" s="27" t="s">
        <v>474</v>
      </c>
      <c r="E286" s="27">
        <v>6</v>
      </c>
      <c r="F286" s="56"/>
      <c r="G286" s="56"/>
      <c r="H286" t="s">
        <v>17</v>
      </c>
      <c r="I286" t="s">
        <v>9</v>
      </c>
      <c r="J286">
        <v>1.34E-2</v>
      </c>
      <c r="K286">
        <v>2.0939999999999999</v>
      </c>
      <c r="L286">
        <v>1.2E-2</v>
      </c>
      <c r="N286" t="s">
        <v>509</v>
      </c>
      <c r="O286">
        <v>74.263333333333335</v>
      </c>
      <c r="P286">
        <v>5.7766666666666664</v>
      </c>
      <c r="Q286">
        <v>2.875692226508336</v>
      </c>
      <c r="R286">
        <v>0.99698592124056329</v>
      </c>
      <c r="AC286">
        <f t="shared" si="6"/>
        <v>5</v>
      </c>
      <c r="AD286">
        <f t="shared" si="7"/>
        <v>30</v>
      </c>
      <c r="AE286">
        <f t="shared" si="8"/>
        <v>2024</v>
      </c>
      <c r="AG286" s="19">
        <v>45442</v>
      </c>
    </row>
    <row r="287" spans="1:33" x14ac:dyDescent="0.25">
      <c r="A287" s="25">
        <v>10286</v>
      </c>
      <c r="B287" t="s">
        <v>306</v>
      </c>
      <c r="C287" t="s">
        <v>306</v>
      </c>
      <c r="D287" s="27" t="s">
        <v>475</v>
      </c>
      <c r="E287" s="27">
        <v>7</v>
      </c>
      <c r="F287" s="56"/>
      <c r="G287" s="56"/>
      <c r="H287" t="s">
        <v>17</v>
      </c>
      <c r="I287" t="s">
        <v>9</v>
      </c>
      <c r="J287">
        <v>1.34E-2</v>
      </c>
      <c r="K287">
        <v>2.2559999999999998</v>
      </c>
      <c r="L287">
        <v>1.2999999999999999E-2</v>
      </c>
      <c r="N287" t="s">
        <v>509</v>
      </c>
      <c r="O287">
        <v>32.153333333333329</v>
      </c>
      <c r="P287">
        <v>9.2233333333333345</v>
      </c>
      <c r="Q287">
        <v>3.0207150132786813</v>
      </c>
      <c r="R287">
        <v>1.068535945045229</v>
      </c>
      <c r="AC287">
        <f t="shared" si="6"/>
        <v>5</v>
      </c>
      <c r="AD287">
        <f t="shared" si="7"/>
        <v>30</v>
      </c>
      <c r="AE287">
        <f t="shared" si="8"/>
        <v>2024</v>
      </c>
      <c r="AG287" s="19">
        <v>45442</v>
      </c>
    </row>
    <row r="288" spans="1:33" x14ac:dyDescent="0.25">
      <c r="A288" s="25">
        <v>10287</v>
      </c>
      <c r="B288" t="s">
        <v>307</v>
      </c>
      <c r="C288" t="s">
        <v>307</v>
      </c>
      <c r="D288" s="27" t="s">
        <v>476</v>
      </c>
      <c r="E288" s="27">
        <v>8</v>
      </c>
      <c r="F288" s="56"/>
      <c r="G288" s="56"/>
      <c r="H288" t="s">
        <v>17</v>
      </c>
      <c r="I288" t="s">
        <v>9</v>
      </c>
      <c r="J288">
        <v>2.5700000000000001E-2</v>
      </c>
      <c r="K288">
        <v>2.286</v>
      </c>
      <c r="L288">
        <v>3.0000000000000001E-3</v>
      </c>
      <c r="N288" t="s">
        <v>509</v>
      </c>
      <c r="O288">
        <v>31.983333333333334</v>
      </c>
      <c r="P288">
        <v>8.1399999999999988</v>
      </c>
      <c r="Q288">
        <v>3.0435859904037539</v>
      </c>
      <c r="R288">
        <v>1.877010406039584</v>
      </c>
      <c r="AC288">
        <f t="shared" si="6"/>
        <v>5</v>
      </c>
      <c r="AD288">
        <f t="shared" si="7"/>
        <v>30</v>
      </c>
      <c r="AE288">
        <f t="shared" si="8"/>
        <v>2024</v>
      </c>
      <c r="AG288" s="19">
        <v>45442</v>
      </c>
    </row>
    <row r="289" spans="1:33" x14ac:dyDescent="0.25">
      <c r="A289" s="25">
        <v>10288</v>
      </c>
      <c r="B289" t="s">
        <v>625</v>
      </c>
      <c r="C289" t="s">
        <v>625</v>
      </c>
      <c r="D289" s="27">
        <v>4105</v>
      </c>
      <c r="E289" s="27">
        <v>5</v>
      </c>
      <c r="F289" s="56"/>
      <c r="G289" s="56"/>
      <c r="H289" s="23" t="s">
        <v>18</v>
      </c>
      <c r="I289" t="s">
        <v>8</v>
      </c>
      <c r="J289">
        <v>-2.3999999999999998E-3</v>
      </c>
      <c r="K289">
        <v>3.6349999999999998</v>
      </c>
      <c r="L289">
        <v>0.33500000000000002</v>
      </c>
      <c r="N289" t="s">
        <v>509</v>
      </c>
      <c r="O289">
        <v>50.594999999999999</v>
      </c>
      <c r="P289">
        <v>10.07</v>
      </c>
      <c r="Q289" s="27">
        <v>2.7772024917077909</v>
      </c>
      <c r="R289" s="27">
        <v>1.5239797786342895</v>
      </c>
      <c r="S289" s="27"/>
      <c r="T289" s="27"/>
      <c r="U289" s="27"/>
      <c r="V289" s="27"/>
      <c r="W289" s="27"/>
      <c r="X289" s="27"/>
      <c r="Y289" s="27"/>
      <c r="Z289" s="27"/>
      <c r="AC289">
        <f t="shared" si="6"/>
        <v>6</v>
      </c>
      <c r="AD289">
        <f t="shared" si="7"/>
        <v>4</v>
      </c>
      <c r="AE289">
        <f t="shared" si="8"/>
        <v>2024</v>
      </c>
      <c r="AG289" s="22">
        <v>45447</v>
      </c>
    </row>
    <row r="290" spans="1:33" x14ac:dyDescent="0.25">
      <c r="A290" s="25">
        <v>10289</v>
      </c>
      <c r="B290" t="s">
        <v>308</v>
      </c>
      <c r="C290" t="s">
        <v>308</v>
      </c>
      <c r="D290" s="27" t="s">
        <v>477</v>
      </c>
      <c r="E290" s="27">
        <v>6</v>
      </c>
      <c r="F290" s="56"/>
      <c r="G290" s="56"/>
      <c r="H290" t="s">
        <v>18</v>
      </c>
      <c r="I290" t="s">
        <v>8</v>
      </c>
      <c r="J290">
        <v>1.14E-2</v>
      </c>
      <c r="K290">
        <v>3.2829999999999999</v>
      </c>
      <c r="L290">
        <v>0.246</v>
      </c>
      <c r="N290" t="s">
        <v>509</v>
      </c>
      <c r="O290">
        <v>1.4566666666666668</v>
      </c>
      <c r="P290">
        <v>2.4666666666666668</v>
      </c>
      <c r="Q290" s="27">
        <v>3.417826227651485</v>
      </c>
      <c r="R290" s="27">
        <v>2.3010633716008497</v>
      </c>
      <c r="S290" s="27"/>
      <c r="T290" s="27"/>
      <c r="U290" s="27"/>
      <c r="V290" s="27"/>
      <c r="W290" s="27"/>
      <c r="X290" s="27"/>
      <c r="Y290" s="27"/>
      <c r="Z290" s="27"/>
      <c r="AC290">
        <f t="shared" si="6"/>
        <v>6</v>
      </c>
      <c r="AD290">
        <f t="shared" si="7"/>
        <v>4</v>
      </c>
      <c r="AE290">
        <f t="shared" si="8"/>
        <v>2024</v>
      </c>
      <c r="AG290" s="19">
        <v>45447</v>
      </c>
    </row>
    <row r="291" spans="1:33" x14ac:dyDescent="0.25">
      <c r="A291" s="25">
        <v>10290</v>
      </c>
      <c r="B291" t="s">
        <v>309</v>
      </c>
      <c r="C291" t="s">
        <v>309</v>
      </c>
      <c r="D291" s="27" t="s">
        <v>478</v>
      </c>
      <c r="E291" s="27">
        <v>8</v>
      </c>
      <c r="F291" s="56"/>
      <c r="G291" s="56"/>
      <c r="H291" t="s">
        <v>18</v>
      </c>
      <c r="I291" t="s">
        <v>8</v>
      </c>
      <c r="J291">
        <v>1.7100000000000001E-2</v>
      </c>
      <c r="K291">
        <v>5.7089999999999996</v>
      </c>
      <c r="L291">
        <v>0.24199999999999999</v>
      </c>
      <c r="N291" t="s">
        <v>509</v>
      </c>
      <c r="O291">
        <v>1.7233333333333334</v>
      </c>
      <c r="P291">
        <v>2.9</v>
      </c>
      <c r="Q291" s="27">
        <v>2.5142787800339779</v>
      </c>
      <c r="R291" s="27">
        <v>3.2934542078017173</v>
      </c>
      <c r="S291" s="27"/>
      <c r="T291" s="27"/>
      <c r="U291" s="27"/>
      <c r="V291" s="27"/>
      <c r="W291" s="27"/>
      <c r="X291" s="27"/>
      <c r="Y291" s="27"/>
      <c r="Z291" s="27"/>
      <c r="AC291">
        <f t="shared" si="6"/>
        <v>6</v>
      </c>
      <c r="AD291">
        <f t="shared" si="7"/>
        <v>4</v>
      </c>
      <c r="AE291">
        <f t="shared" si="8"/>
        <v>2024</v>
      </c>
      <c r="AG291" s="19">
        <v>45447</v>
      </c>
    </row>
    <row r="292" spans="1:33" x14ac:dyDescent="0.25">
      <c r="A292" s="25">
        <v>10291</v>
      </c>
      <c r="B292" t="s">
        <v>310</v>
      </c>
      <c r="C292" t="s">
        <v>310</v>
      </c>
      <c r="D292" s="27" t="s">
        <v>479</v>
      </c>
      <c r="E292" s="27">
        <v>9</v>
      </c>
      <c r="F292" s="56"/>
      <c r="G292" s="56"/>
      <c r="H292" t="s">
        <v>18</v>
      </c>
      <c r="I292" t="s">
        <v>8</v>
      </c>
      <c r="J292">
        <v>7.4999999999999997E-3</v>
      </c>
      <c r="K292">
        <v>2.532</v>
      </c>
      <c r="L292">
        <v>0.23499999999999999</v>
      </c>
      <c r="N292" t="s">
        <v>509</v>
      </c>
      <c r="O292">
        <v>23.366666666666664</v>
      </c>
      <c r="P292">
        <v>15.716666666666667</v>
      </c>
      <c r="Q292" s="27">
        <v>3.5644567591618803</v>
      </c>
      <c r="R292" s="27">
        <v>2.6049553194085977</v>
      </c>
      <c r="S292" s="27"/>
      <c r="T292" s="27"/>
      <c r="U292" s="27"/>
      <c r="V292" s="27"/>
      <c r="W292" s="27"/>
      <c r="X292" s="27"/>
      <c r="Y292" s="27"/>
      <c r="Z292" s="27"/>
      <c r="AC292">
        <f t="shared" si="6"/>
        <v>6</v>
      </c>
      <c r="AD292">
        <f t="shared" si="7"/>
        <v>4</v>
      </c>
      <c r="AE292">
        <f t="shared" si="8"/>
        <v>2024</v>
      </c>
      <c r="AG292" s="19">
        <v>45447</v>
      </c>
    </row>
    <row r="293" spans="1:33" x14ac:dyDescent="0.25">
      <c r="A293" s="25">
        <v>10292</v>
      </c>
      <c r="B293" t="s">
        <v>311</v>
      </c>
      <c r="C293" t="s">
        <v>311</v>
      </c>
      <c r="D293" s="27" t="s">
        <v>480</v>
      </c>
      <c r="E293" s="27">
        <v>10</v>
      </c>
      <c r="F293" s="56"/>
      <c r="G293" s="56"/>
      <c r="H293" t="s">
        <v>18</v>
      </c>
      <c r="I293" t="s">
        <v>8</v>
      </c>
      <c r="J293">
        <v>-3.8999999999999998E-3</v>
      </c>
      <c r="K293">
        <v>3.5329999999999999</v>
      </c>
      <c r="L293">
        <v>0.24199999999999999</v>
      </c>
      <c r="N293" t="s">
        <v>509</v>
      </c>
      <c r="O293">
        <v>26.55</v>
      </c>
      <c r="P293">
        <v>3.7266666666666666</v>
      </c>
      <c r="Q293" s="27">
        <v>3.2256896691206198</v>
      </c>
      <c r="R293" s="27">
        <v>2.2215591037148901</v>
      </c>
      <c r="S293" s="27"/>
      <c r="T293" s="27"/>
      <c r="U293" s="27"/>
      <c r="V293" s="27"/>
      <c r="W293" s="27"/>
      <c r="X293" s="27"/>
      <c r="Y293" s="27"/>
      <c r="Z293" s="27"/>
      <c r="AC293">
        <f t="shared" si="6"/>
        <v>6</v>
      </c>
      <c r="AD293">
        <f t="shared" si="7"/>
        <v>4</v>
      </c>
      <c r="AE293">
        <f t="shared" si="8"/>
        <v>2024</v>
      </c>
      <c r="AG293" s="19">
        <v>45447</v>
      </c>
    </row>
    <row r="294" spans="1:33" x14ac:dyDescent="0.25">
      <c r="A294" s="25">
        <v>10293</v>
      </c>
      <c r="B294" t="s">
        <v>312</v>
      </c>
      <c r="C294" t="s">
        <v>312</v>
      </c>
      <c r="D294" s="27" t="s">
        <v>481</v>
      </c>
      <c r="E294" s="27">
        <v>11</v>
      </c>
      <c r="F294" s="56"/>
      <c r="G294" s="56"/>
      <c r="H294" t="s">
        <v>18</v>
      </c>
      <c r="I294" t="s">
        <v>8</v>
      </c>
      <c r="J294">
        <v>-3.0999999999999999E-3</v>
      </c>
      <c r="K294">
        <v>5.0369999999999999</v>
      </c>
      <c r="L294">
        <v>0.24199999999999999</v>
      </c>
      <c r="N294" t="s">
        <v>509</v>
      </c>
      <c r="O294">
        <v>41.636666666666663</v>
      </c>
      <c r="P294">
        <v>32.410000000000004</v>
      </c>
      <c r="Q294" s="27">
        <v>3.5776029447455713</v>
      </c>
      <c r="R294" s="27">
        <v>3.3880925368334802</v>
      </c>
      <c r="S294" s="27"/>
      <c r="T294" s="27"/>
      <c r="U294" s="27"/>
      <c r="V294" s="27"/>
      <c r="W294" s="27"/>
      <c r="X294" s="27"/>
      <c r="Y294" s="27"/>
      <c r="Z294" s="27"/>
      <c r="AC294">
        <f t="shared" si="6"/>
        <v>6</v>
      </c>
      <c r="AD294">
        <f t="shared" si="7"/>
        <v>4</v>
      </c>
      <c r="AE294">
        <f t="shared" si="8"/>
        <v>2024</v>
      </c>
      <c r="AG294" s="19">
        <v>45447</v>
      </c>
    </row>
    <row r="295" spans="1:33" x14ac:dyDescent="0.25">
      <c r="A295" s="25">
        <v>10294</v>
      </c>
      <c r="B295" t="s">
        <v>313</v>
      </c>
      <c r="C295" t="s">
        <v>313</v>
      </c>
      <c r="D295" s="27" t="s">
        <v>482</v>
      </c>
      <c r="E295" s="27">
        <v>12</v>
      </c>
      <c r="F295" s="56"/>
      <c r="G295" s="56"/>
      <c r="H295" t="s">
        <v>18</v>
      </c>
      <c r="I295" t="s">
        <v>8</v>
      </c>
      <c r="J295">
        <v>2.81E-2</v>
      </c>
      <c r="K295">
        <v>3.9940000000000002</v>
      </c>
      <c r="L295">
        <v>0.24099999999999999</v>
      </c>
      <c r="N295" t="s">
        <v>509</v>
      </c>
      <c r="O295">
        <v>28.046666666666667</v>
      </c>
      <c r="P295">
        <v>24.44</v>
      </c>
      <c r="Q295" s="27">
        <v>3.355634657390179</v>
      </c>
      <c r="R295" s="27">
        <v>2.6428913660140805</v>
      </c>
      <c r="S295" s="27"/>
      <c r="T295" s="27"/>
      <c r="U295" s="27"/>
      <c r="V295" s="27"/>
      <c r="W295" s="27"/>
      <c r="X295" s="27"/>
      <c r="Y295" s="27"/>
      <c r="Z295" s="27"/>
      <c r="AC295">
        <f t="shared" si="6"/>
        <v>6</v>
      </c>
      <c r="AD295">
        <f t="shared" si="7"/>
        <v>4</v>
      </c>
      <c r="AE295">
        <f t="shared" si="8"/>
        <v>2024</v>
      </c>
      <c r="AG295" s="19">
        <v>45447</v>
      </c>
    </row>
    <row r="296" spans="1:33" x14ac:dyDescent="0.25">
      <c r="A296" s="25">
        <v>10295</v>
      </c>
      <c r="B296" t="s">
        <v>314</v>
      </c>
      <c r="C296" t="s">
        <v>314</v>
      </c>
      <c r="D296" s="27" t="s">
        <v>483</v>
      </c>
      <c r="E296" s="27">
        <v>14</v>
      </c>
      <c r="F296" s="56"/>
      <c r="G296" s="56"/>
      <c r="H296" t="s">
        <v>18</v>
      </c>
      <c r="I296" t="s">
        <v>8</v>
      </c>
      <c r="J296">
        <v>1.4500000000000001E-2</v>
      </c>
      <c r="K296">
        <v>3.2130000000000001</v>
      </c>
      <c r="L296">
        <v>0.254</v>
      </c>
      <c r="N296" t="s">
        <v>509</v>
      </c>
      <c r="O296">
        <v>3.83</v>
      </c>
      <c r="P296">
        <v>3.25</v>
      </c>
      <c r="Q296" s="27">
        <v>3.3359153790146427</v>
      </c>
      <c r="R296" s="27">
        <v>2.3030812464202901</v>
      </c>
      <c r="S296" s="27"/>
      <c r="T296" s="27"/>
      <c r="U296" s="27"/>
      <c r="V296" s="27"/>
      <c r="W296" s="27"/>
      <c r="X296" s="27"/>
      <c r="Y296" s="27"/>
      <c r="Z296" s="27"/>
      <c r="AC296">
        <f t="shared" si="6"/>
        <v>6</v>
      </c>
      <c r="AD296">
        <f t="shared" si="7"/>
        <v>4</v>
      </c>
      <c r="AE296">
        <f t="shared" si="8"/>
        <v>2024</v>
      </c>
      <c r="AG296" s="19">
        <v>45447</v>
      </c>
    </row>
    <row r="297" spans="1:33" x14ac:dyDescent="0.25">
      <c r="A297" s="25">
        <v>10296</v>
      </c>
      <c r="B297" t="s">
        <v>315</v>
      </c>
      <c r="C297" t="s">
        <v>315</v>
      </c>
      <c r="D297" s="27" t="s">
        <v>484</v>
      </c>
      <c r="E297" s="27">
        <v>15</v>
      </c>
      <c r="F297" s="56"/>
      <c r="G297" s="56"/>
      <c r="H297" t="s">
        <v>18</v>
      </c>
      <c r="I297" t="s">
        <v>8</v>
      </c>
      <c r="J297">
        <v>2.9999999999999997E-4</v>
      </c>
      <c r="K297">
        <v>3.6190000000000002</v>
      </c>
      <c r="L297">
        <v>0.21</v>
      </c>
      <c r="N297" t="s">
        <v>509</v>
      </c>
      <c r="O297">
        <v>16.783333333333335</v>
      </c>
      <c r="P297">
        <v>2.78</v>
      </c>
      <c r="Q297" s="27">
        <v>3.084115362834722</v>
      </c>
      <c r="R297" s="27">
        <v>2.1791837325066394</v>
      </c>
      <c r="S297" s="27"/>
      <c r="T297" s="27"/>
      <c r="U297" s="27"/>
      <c r="V297" s="27"/>
      <c r="W297" s="27"/>
      <c r="X297" s="27"/>
      <c r="Y297" s="27"/>
      <c r="Z297" s="27"/>
      <c r="AC297">
        <f t="shared" si="6"/>
        <v>6</v>
      </c>
      <c r="AD297">
        <f t="shared" si="7"/>
        <v>4</v>
      </c>
      <c r="AE297">
        <f t="shared" si="8"/>
        <v>2024</v>
      </c>
      <c r="AG297" s="19">
        <v>45447</v>
      </c>
    </row>
    <row r="298" spans="1:33" x14ac:dyDescent="0.25">
      <c r="A298" s="25">
        <v>10297</v>
      </c>
      <c r="B298" t="s">
        <v>316</v>
      </c>
      <c r="C298" t="s">
        <v>316</v>
      </c>
      <c r="D298" s="27" t="s">
        <v>485</v>
      </c>
      <c r="E298" s="27">
        <v>1</v>
      </c>
      <c r="F298" s="56"/>
      <c r="G298" s="56"/>
      <c r="H298" t="s">
        <v>19</v>
      </c>
      <c r="I298" t="s">
        <v>8</v>
      </c>
      <c r="J298">
        <v>-0.49569999999999997</v>
      </c>
      <c r="K298">
        <v>2.8149999999999999</v>
      </c>
      <c r="L298">
        <v>2.7E-2</v>
      </c>
      <c r="N298" t="s">
        <v>509</v>
      </c>
      <c r="O298">
        <v>34.299999999999997</v>
      </c>
      <c r="P298">
        <v>20.306666666666668</v>
      </c>
      <c r="Q298" s="23">
        <v>3.580014362973635</v>
      </c>
      <c r="R298" s="23">
        <v>1.4130914779296742</v>
      </c>
      <c r="S298" s="23">
        <v>189.334</v>
      </c>
      <c r="T298" s="23">
        <v>324.036</v>
      </c>
      <c r="U298" s="23">
        <v>474.27600000000001</v>
      </c>
      <c r="V298" s="23">
        <v>541.399</v>
      </c>
      <c r="W298" s="23">
        <v>545.11900000000003</v>
      </c>
      <c r="X298" s="23">
        <v>487.19</v>
      </c>
      <c r="Y298" s="23">
        <v>538.32100000000003</v>
      </c>
      <c r="Z298" s="23">
        <v>489.82</v>
      </c>
      <c r="AC298">
        <f t="shared" si="6"/>
        <v>6</v>
      </c>
      <c r="AD298">
        <f t="shared" si="7"/>
        <v>6</v>
      </c>
      <c r="AE298">
        <f t="shared" si="8"/>
        <v>2024</v>
      </c>
      <c r="AG298" s="19">
        <v>45449</v>
      </c>
    </row>
    <row r="299" spans="1:33" x14ac:dyDescent="0.25">
      <c r="A299" s="25">
        <v>10298</v>
      </c>
      <c r="B299" t="s">
        <v>317</v>
      </c>
      <c r="C299" t="s">
        <v>317</v>
      </c>
      <c r="D299" s="27" t="s">
        <v>486</v>
      </c>
      <c r="E299" s="27">
        <v>2</v>
      </c>
      <c r="F299" s="56"/>
      <c r="G299" s="56"/>
      <c r="H299" t="s">
        <v>19</v>
      </c>
      <c r="I299" t="s">
        <v>8</v>
      </c>
      <c r="J299">
        <v>-0.495</v>
      </c>
      <c r="K299">
        <v>4.4690000000000003</v>
      </c>
      <c r="L299">
        <v>6.2E-2</v>
      </c>
      <c r="N299" t="s">
        <v>509</v>
      </c>
      <c r="O299">
        <v>22.136666666666667</v>
      </c>
      <c r="P299">
        <v>10.876666666666667</v>
      </c>
      <c r="Q299">
        <v>3.5394703580700972</v>
      </c>
      <c r="R299">
        <v>1.8506892470924301</v>
      </c>
      <c r="S299">
        <v>100.66800000000001</v>
      </c>
      <c r="T299">
        <v>221.054</v>
      </c>
      <c r="U299">
        <v>368.52199999999999</v>
      </c>
      <c r="V299">
        <v>443.435</v>
      </c>
      <c r="W299">
        <v>445.58199999999999</v>
      </c>
      <c r="X299">
        <v>371.50799999999998</v>
      </c>
      <c r="Y299">
        <v>439.327</v>
      </c>
      <c r="Z299">
        <v>409.00400000000002</v>
      </c>
      <c r="AC299">
        <f t="shared" si="6"/>
        <v>6</v>
      </c>
      <c r="AD299">
        <f t="shared" si="7"/>
        <v>6</v>
      </c>
      <c r="AE299">
        <f t="shared" si="8"/>
        <v>2024</v>
      </c>
      <c r="AG299" s="19">
        <v>45449</v>
      </c>
    </row>
    <row r="300" spans="1:33" x14ac:dyDescent="0.25">
      <c r="A300" s="25">
        <v>10299</v>
      </c>
      <c r="B300" t="s">
        <v>318</v>
      </c>
      <c r="C300" t="s">
        <v>318</v>
      </c>
      <c r="D300" s="27" t="s">
        <v>487</v>
      </c>
      <c r="E300" s="27">
        <v>3</v>
      </c>
      <c r="F300" s="56"/>
      <c r="G300" s="56"/>
      <c r="H300" t="s">
        <v>19</v>
      </c>
      <c r="I300" t="s">
        <v>8</v>
      </c>
      <c r="J300">
        <v>-0.50170000000000003</v>
      </c>
      <c r="K300">
        <v>3.4350000000000001</v>
      </c>
      <c r="L300">
        <v>3.7999999999999999E-2</v>
      </c>
      <c r="N300" t="s">
        <v>509</v>
      </c>
      <c r="O300">
        <v>19.309999999999999</v>
      </c>
      <c r="P300">
        <v>4.3366666666666669</v>
      </c>
      <c r="Q300">
        <v>3.9367669531291201</v>
      </c>
      <c r="R300">
        <v>2.1204301163027957</v>
      </c>
      <c r="S300">
        <v>232.24299999999999</v>
      </c>
      <c r="T300">
        <v>380.16800000000001</v>
      </c>
      <c r="U300">
        <v>529.03099999999995</v>
      </c>
      <c r="V300">
        <v>594.10299999999995</v>
      </c>
      <c r="W300">
        <v>612.60199999999998</v>
      </c>
      <c r="X300">
        <v>566.48400000000004</v>
      </c>
      <c r="Y300">
        <v>572.21500000000003</v>
      </c>
      <c r="Z300">
        <v>499.47500000000002</v>
      </c>
      <c r="AC300">
        <f t="shared" ref="AC300:AC331" si="9">MONTH(AG300)</f>
        <v>6</v>
      </c>
      <c r="AD300">
        <f t="shared" ref="AD300:AD331" si="10">DAY(AG300)</f>
        <v>6</v>
      </c>
      <c r="AE300">
        <f t="shared" ref="AE300:AE331" si="11">YEAR(AG300)</f>
        <v>2024</v>
      </c>
      <c r="AG300" s="19">
        <v>45449</v>
      </c>
    </row>
    <row r="301" spans="1:33" x14ac:dyDescent="0.25">
      <c r="A301" s="25">
        <v>10300</v>
      </c>
      <c r="B301" t="s">
        <v>319</v>
      </c>
      <c r="C301" t="s">
        <v>319</v>
      </c>
      <c r="D301" s="27" t="s">
        <v>488</v>
      </c>
      <c r="E301" s="27">
        <v>4</v>
      </c>
      <c r="F301" s="56"/>
      <c r="G301" s="56"/>
      <c r="H301" t="s">
        <v>19</v>
      </c>
      <c r="I301" t="s">
        <v>8</v>
      </c>
      <c r="J301">
        <v>-0.50080000000000002</v>
      </c>
      <c r="K301">
        <v>2.653</v>
      </c>
      <c r="L301">
        <v>1.0999999999999999E-2</v>
      </c>
      <c r="N301" t="s">
        <v>509</v>
      </c>
      <c r="O301">
        <v>25.563333333333333</v>
      </c>
      <c r="P301">
        <v>35.669999999999995</v>
      </c>
      <c r="Q301">
        <v>3.6818941701671393</v>
      </c>
      <c r="R301">
        <v>1.8457922872883086</v>
      </c>
      <c r="S301">
        <v>202.619</v>
      </c>
      <c r="T301">
        <v>358.101</v>
      </c>
      <c r="U301">
        <v>501.19499999999999</v>
      </c>
      <c r="V301">
        <v>576.20699999999999</v>
      </c>
      <c r="W301">
        <v>577.33199999999999</v>
      </c>
      <c r="X301">
        <v>531.69100000000003</v>
      </c>
      <c r="Y301">
        <v>571.14499999999998</v>
      </c>
      <c r="Z301">
        <v>527.80499999999995</v>
      </c>
      <c r="AC301">
        <f t="shared" si="9"/>
        <v>6</v>
      </c>
      <c r="AD301">
        <f t="shared" si="10"/>
        <v>6</v>
      </c>
      <c r="AE301">
        <f t="shared" si="11"/>
        <v>2024</v>
      </c>
      <c r="AG301" s="19">
        <v>45449</v>
      </c>
    </row>
    <row r="302" spans="1:33" x14ac:dyDescent="0.25">
      <c r="A302" s="25">
        <v>10301</v>
      </c>
      <c r="B302" t="s">
        <v>320</v>
      </c>
      <c r="C302" t="s">
        <v>320</v>
      </c>
      <c r="D302" s="27" t="s">
        <v>489</v>
      </c>
      <c r="E302" s="27">
        <v>5</v>
      </c>
      <c r="F302" s="56"/>
      <c r="G302" s="56"/>
      <c r="H302" t="s">
        <v>19</v>
      </c>
      <c r="I302" t="s">
        <v>8</v>
      </c>
      <c r="J302">
        <v>-0.50209999999999999</v>
      </c>
      <c r="K302">
        <v>3.198</v>
      </c>
      <c r="L302">
        <v>2.5999999999999999E-2</v>
      </c>
      <c r="N302" t="s">
        <v>509</v>
      </c>
      <c r="O302">
        <v>18.093333333333334</v>
      </c>
      <c r="P302">
        <v>23.656666666666666</v>
      </c>
      <c r="Q302">
        <v>3.6647409373233346</v>
      </c>
      <c r="R302">
        <v>1.8508932870842687</v>
      </c>
      <c r="S302">
        <v>219.251</v>
      </c>
      <c r="T302">
        <v>373.02100000000002</v>
      </c>
      <c r="U302">
        <v>511.16199999999998</v>
      </c>
      <c r="V302">
        <v>613.50900000000001</v>
      </c>
      <c r="W302">
        <v>610.32600000000002</v>
      </c>
      <c r="X302">
        <v>557.39200000000005</v>
      </c>
      <c r="Y302">
        <v>633.096</v>
      </c>
      <c r="Z302">
        <v>577.08900000000006</v>
      </c>
      <c r="AC302">
        <f t="shared" si="9"/>
        <v>6</v>
      </c>
      <c r="AD302">
        <f t="shared" si="10"/>
        <v>6</v>
      </c>
      <c r="AE302">
        <f t="shared" si="11"/>
        <v>2024</v>
      </c>
      <c r="AG302" s="19">
        <v>45449</v>
      </c>
    </row>
    <row r="303" spans="1:33" x14ac:dyDescent="0.25">
      <c r="A303" s="25">
        <v>10302</v>
      </c>
      <c r="B303" t="s">
        <v>321</v>
      </c>
      <c r="C303" t="s">
        <v>321</v>
      </c>
      <c r="D303" s="27" t="s">
        <v>490</v>
      </c>
      <c r="E303" s="27">
        <v>6</v>
      </c>
      <c r="F303" s="56"/>
      <c r="G303" s="56"/>
      <c r="H303" t="s">
        <v>19</v>
      </c>
      <c r="I303" t="s">
        <v>8</v>
      </c>
      <c r="J303">
        <v>-0.50729999999999997</v>
      </c>
      <c r="K303">
        <v>2.9169999999999998</v>
      </c>
      <c r="L303">
        <v>2E-3</v>
      </c>
      <c r="N303" t="s">
        <v>509</v>
      </c>
      <c r="O303">
        <v>24.13</v>
      </c>
      <c r="P303">
        <v>33.020000000000003</v>
      </c>
      <c r="Q303">
        <v>3.9106039414178637</v>
      </c>
      <c r="R303">
        <v>1.8949659253213631</v>
      </c>
      <c r="S303">
        <v>126.583</v>
      </c>
      <c r="T303">
        <v>267.96499999999997</v>
      </c>
      <c r="U303">
        <v>394.13499999999999</v>
      </c>
      <c r="V303">
        <v>458.09100000000001</v>
      </c>
      <c r="W303">
        <v>428.84</v>
      </c>
      <c r="X303">
        <v>417.46100000000001</v>
      </c>
      <c r="Y303">
        <v>437.971</v>
      </c>
      <c r="Z303">
        <v>447.70100000000002</v>
      </c>
      <c r="AC303">
        <f t="shared" si="9"/>
        <v>6</v>
      </c>
      <c r="AD303">
        <f t="shared" si="10"/>
        <v>6</v>
      </c>
      <c r="AE303">
        <f t="shared" si="11"/>
        <v>2024</v>
      </c>
      <c r="AG303" s="19">
        <v>45449</v>
      </c>
    </row>
    <row r="304" spans="1:33" x14ac:dyDescent="0.25">
      <c r="A304" s="25">
        <v>10303</v>
      </c>
      <c r="B304" t="s">
        <v>322</v>
      </c>
      <c r="C304" t="s">
        <v>322</v>
      </c>
      <c r="D304" s="27" t="s">
        <v>491</v>
      </c>
      <c r="E304" s="27">
        <v>7</v>
      </c>
      <c r="F304" s="56"/>
      <c r="G304" s="56"/>
      <c r="H304" t="s">
        <v>19</v>
      </c>
      <c r="I304" t="s">
        <v>8</v>
      </c>
      <c r="J304">
        <v>-0.50039999999999996</v>
      </c>
      <c r="K304">
        <v>2.694</v>
      </c>
      <c r="L304">
        <v>-2E-3</v>
      </c>
      <c r="N304" t="s">
        <v>509</v>
      </c>
      <c r="O304">
        <v>50.433333333333337</v>
      </c>
      <c r="P304">
        <v>56.089999999999996</v>
      </c>
      <c r="Q304">
        <v>3.9501083564520796</v>
      </c>
      <c r="R304">
        <v>1.255300550907978</v>
      </c>
      <c r="S304">
        <v>158.22399999999999</v>
      </c>
      <c r="T304">
        <v>287.31</v>
      </c>
      <c r="U304">
        <v>404.43700000000001</v>
      </c>
      <c r="V304">
        <v>429.09800000000001</v>
      </c>
      <c r="W304">
        <v>394.36599999999999</v>
      </c>
      <c r="X304">
        <v>415.15199999999999</v>
      </c>
      <c r="Y304">
        <v>459.22199999999998</v>
      </c>
      <c r="Z304">
        <v>486.03399999999999</v>
      </c>
      <c r="AC304">
        <f t="shared" si="9"/>
        <v>6</v>
      </c>
      <c r="AD304">
        <f t="shared" si="10"/>
        <v>6</v>
      </c>
      <c r="AE304">
        <f t="shared" si="11"/>
        <v>2024</v>
      </c>
      <c r="AG304" s="19">
        <v>45449</v>
      </c>
    </row>
    <row r="305" spans="1:33" x14ac:dyDescent="0.25">
      <c r="A305" s="25">
        <v>10304</v>
      </c>
      <c r="B305" t="s">
        <v>323</v>
      </c>
      <c r="C305" t="s">
        <v>323</v>
      </c>
      <c r="D305" s="27" t="s">
        <v>492</v>
      </c>
      <c r="E305" s="27">
        <v>8</v>
      </c>
      <c r="F305" s="56"/>
      <c r="G305" s="56"/>
      <c r="H305" t="s">
        <v>19</v>
      </c>
      <c r="I305" t="s">
        <v>8</v>
      </c>
      <c r="J305">
        <v>-0.50519999999999998</v>
      </c>
      <c r="K305">
        <v>2.895</v>
      </c>
      <c r="L305">
        <v>1E-3</v>
      </c>
      <c r="N305" t="s">
        <v>509</v>
      </c>
      <c r="O305">
        <v>33.97</v>
      </c>
      <c r="P305">
        <v>38.229999999999997</v>
      </c>
      <c r="Q305">
        <v>3.9303561489349712</v>
      </c>
      <c r="R305">
        <v>1.312159695300279</v>
      </c>
      <c r="S305">
        <v>99.302700000000002</v>
      </c>
      <c r="T305">
        <v>219.98699999999999</v>
      </c>
      <c r="U305">
        <v>325.00799999999998</v>
      </c>
      <c r="V305">
        <v>370.90199999999999</v>
      </c>
      <c r="W305">
        <v>344.541</v>
      </c>
      <c r="X305">
        <v>346.40899999999999</v>
      </c>
      <c r="Y305">
        <v>371.05700000000002</v>
      </c>
      <c r="Z305">
        <v>408.209</v>
      </c>
      <c r="AC305">
        <f t="shared" si="9"/>
        <v>6</v>
      </c>
      <c r="AD305">
        <f t="shared" si="10"/>
        <v>6</v>
      </c>
      <c r="AE305">
        <f t="shared" si="11"/>
        <v>2024</v>
      </c>
      <c r="AG305" s="19">
        <v>45449</v>
      </c>
    </row>
    <row r="306" spans="1:33" x14ac:dyDescent="0.25">
      <c r="A306" s="25">
        <v>10305</v>
      </c>
      <c r="B306" t="s">
        <v>324</v>
      </c>
      <c r="C306" t="s">
        <v>324</v>
      </c>
      <c r="D306" s="27" t="s">
        <v>493</v>
      </c>
      <c r="E306" s="27">
        <v>9</v>
      </c>
      <c r="F306" s="56"/>
      <c r="G306" s="56"/>
      <c r="H306" t="s">
        <v>19</v>
      </c>
      <c r="I306" t="s">
        <v>8</v>
      </c>
      <c r="J306">
        <v>-0.50319999999999998</v>
      </c>
      <c r="K306">
        <v>2.073</v>
      </c>
      <c r="L306">
        <v>-3.0000000000000001E-3</v>
      </c>
      <c r="N306" t="s">
        <v>509</v>
      </c>
      <c r="O306">
        <v>41.14</v>
      </c>
      <c r="P306">
        <v>39.876666666666665</v>
      </c>
      <c r="Q306">
        <v>3.2639790426999067</v>
      </c>
      <c r="R306">
        <v>0.94543181663606057</v>
      </c>
      <c r="AC306">
        <f t="shared" si="9"/>
        <v>6</v>
      </c>
      <c r="AD306">
        <f t="shared" si="10"/>
        <v>6</v>
      </c>
      <c r="AE306">
        <f t="shared" si="11"/>
        <v>2024</v>
      </c>
      <c r="AG306" s="19">
        <v>45449</v>
      </c>
    </row>
    <row r="307" spans="1:33" x14ac:dyDescent="0.25">
      <c r="A307" s="25">
        <v>10306</v>
      </c>
      <c r="B307" t="s">
        <v>325</v>
      </c>
      <c r="C307" t="s">
        <v>325</v>
      </c>
      <c r="D307" s="27" t="s">
        <v>494</v>
      </c>
      <c r="E307" s="27">
        <v>10</v>
      </c>
      <c r="F307" s="56"/>
      <c r="G307" s="56"/>
      <c r="H307" t="s">
        <v>19</v>
      </c>
      <c r="I307" t="s">
        <v>8</v>
      </c>
      <c r="J307">
        <v>-0.50149999999999995</v>
      </c>
      <c r="K307">
        <v>2.028</v>
      </c>
      <c r="L307">
        <v>-1E-3</v>
      </c>
      <c r="N307" t="s">
        <v>509</v>
      </c>
      <c r="O307">
        <v>43.466666666666669</v>
      </c>
      <c r="P307">
        <v>38.276666666666664</v>
      </c>
      <c r="Q307">
        <v>3.2618998629612639</v>
      </c>
      <c r="R307">
        <v>1.4169002244439912</v>
      </c>
      <c r="S307">
        <v>173.09</v>
      </c>
      <c r="T307">
        <v>366.11700000000002</v>
      </c>
      <c r="U307">
        <v>466.53899999999999</v>
      </c>
      <c r="V307">
        <v>521.14599999999996</v>
      </c>
      <c r="W307">
        <v>483.63499999999999</v>
      </c>
      <c r="X307">
        <v>504.92599999999999</v>
      </c>
      <c r="Y307">
        <v>526.88499999999999</v>
      </c>
      <c r="Z307">
        <v>571.72</v>
      </c>
      <c r="AC307">
        <f t="shared" si="9"/>
        <v>6</v>
      </c>
      <c r="AD307">
        <f t="shared" si="10"/>
        <v>6</v>
      </c>
      <c r="AE307">
        <f t="shared" si="11"/>
        <v>2024</v>
      </c>
      <c r="AG307" s="19">
        <v>45449</v>
      </c>
    </row>
    <row r="308" spans="1:33" x14ac:dyDescent="0.25">
      <c r="A308" s="25">
        <v>10307</v>
      </c>
      <c r="B308" t="s">
        <v>326</v>
      </c>
      <c r="C308" t="s">
        <v>326</v>
      </c>
      <c r="D308" s="27" t="s">
        <v>495</v>
      </c>
      <c r="E308" s="27">
        <v>13</v>
      </c>
      <c r="F308" s="56"/>
      <c r="G308" s="56"/>
      <c r="H308" t="s">
        <v>19</v>
      </c>
      <c r="I308" t="s">
        <v>8</v>
      </c>
      <c r="J308">
        <v>-0.50119999999999998</v>
      </c>
      <c r="K308">
        <v>3.3119999999999998</v>
      </c>
      <c r="L308">
        <v>3.7999999999999999E-2</v>
      </c>
      <c r="N308" t="s">
        <v>509</v>
      </c>
      <c r="O308">
        <v>23.453333333333333</v>
      </c>
      <c r="P308">
        <v>6.87</v>
      </c>
      <c r="Q308">
        <v>3.8944902984433805</v>
      </c>
      <c r="R308">
        <v>1.4023453716928518</v>
      </c>
      <c r="S308">
        <v>247.876</v>
      </c>
      <c r="T308">
        <v>417.80700000000002</v>
      </c>
      <c r="U308">
        <v>566.08600000000001</v>
      </c>
      <c r="V308">
        <v>646.37099999999998</v>
      </c>
      <c r="W308">
        <v>662.11</v>
      </c>
      <c r="X308">
        <v>618.92999999999995</v>
      </c>
      <c r="Y308">
        <v>618.24599999999998</v>
      </c>
      <c r="Z308">
        <v>536.77800000000002</v>
      </c>
      <c r="AC308">
        <f t="shared" si="9"/>
        <v>6</v>
      </c>
      <c r="AD308">
        <f t="shared" si="10"/>
        <v>6</v>
      </c>
      <c r="AE308">
        <f t="shared" si="11"/>
        <v>2024</v>
      </c>
      <c r="AG308" s="19">
        <v>45449</v>
      </c>
    </row>
    <row r="309" spans="1:33" x14ac:dyDescent="0.25">
      <c r="A309" s="25">
        <v>10308</v>
      </c>
      <c r="B309" t="s">
        <v>327</v>
      </c>
      <c r="C309" t="s">
        <v>327</v>
      </c>
      <c r="D309" s="27" t="s">
        <v>496</v>
      </c>
      <c r="E309" s="27">
        <v>14</v>
      </c>
      <c r="F309" s="57"/>
      <c r="G309" s="125"/>
      <c r="H309" t="s">
        <v>19</v>
      </c>
      <c r="I309" t="s">
        <v>8</v>
      </c>
      <c r="J309">
        <v>-0.50649999999999995</v>
      </c>
      <c r="K309">
        <v>2.6930000000000001</v>
      </c>
      <c r="L309">
        <v>5.0999999999999997E-2</v>
      </c>
      <c r="N309" t="s">
        <v>509</v>
      </c>
      <c r="O309">
        <v>8.4266666666666676</v>
      </c>
      <c r="P309">
        <v>11.796666666666667</v>
      </c>
      <c r="Q309">
        <v>3.5587027706525447</v>
      </c>
      <c r="R309">
        <v>1.8449761273209551</v>
      </c>
      <c r="S309">
        <v>305.01799999999997</v>
      </c>
      <c r="T309">
        <v>476.42899999999997</v>
      </c>
      <c r="U309">
        <v>628.38199999999995</v>
      </c>
      <c r="V309">
        <v>719.01099999999997</v>
      </c>
      <c r="W309">
        <v>720.73800000000006</v>
      </c>
      <c r="X309">
        <v>702.351</v>
      </c>
      <c r="Y309">
        <v>666.303</v>
      </c>
      <c r="Z309">
        <v>559.69500000000005</v>
      </c>
      <c r="AC309">
        <f t="shared" si="9"/>
        <v>6</v>
      </c>
      <c r="AD309">
        <f t="shared" si="10"/>
        <v>6</v>
      </c>
      <c r="AE309">
        <f t="shared" si="11"/>
        <v>2024</v>
      </c>
      <c r="AG309" s="19">
        <v>45449</v>
      </c>
    </row>
    <row r="310" spans="1:33" x14ac:dyDescent="0.25">
      <c r="A310" s="25">
        <v>10309</v>
      </c>
      <c r="B310" s="67" t="s">
        <v>328</v>
      </c>
      <c r="C310" s="67" t="s">
        <v>328</v>
      </c>
      <c r="D310" s="68" t="s">
        <v>456</v>
      </c>
      <c r="E310" s="68">
        <v>1</v>
      </c>
      <c r="F310" s="114"/>
      <c r="G310" s="114"/>
      <c r="H310" s="67" t="s">
        <v>17</v>
      </c>
      <c r="I310" s="67" t="s">
        <v>8</v>
      </c>
      <c r="J310" s="115">
        <v>1.9333333333333331E-3</v>
      </c>
      <c r="K310" s="67">
        <v>2.4306666666666668</v>
      </c>
      <c r="L310" s="67">
        <v>6.5333333333333327E-2</v>
      </c>
      <c r="N310" t="s">
        <v>509</v>
      </c>
      <c r="O310">
        <v>64.905000000000001</v>
      </c>
      <c r="P310">
        <v>39.33</v>
      </c>
      <c r="Q310">
        <v>2.9817303931791264</v>
      </c>
      <c r="R310">
        <v>0.96216309596680949</v>
      </c>
      <c r="S310">
        <v>200.77699999999999</v>
      </c>
      <c r="T310">
        <v>285.57100000000003</v>
      </c>
      <c r="U310">
        <v>411.85500000000002</v>
      </c>
      <c r="V310">
        <v>471.57</v>
      </c>
      <c r="W310">
        <v>394.774</v>
      </c>
      <c r="X310">
        <v>354.14100000000002</v>
      </c>
      <c r="Y310">
        <v>431.59500000000003</v>
      </c>
      <c r="Z310">
        <v>431.02199999999999</v>
      </c>
      <c r="AC310">
        <f t="shared" si="9"/>
        <v>6</v>
      </c>
      <c r="AD310">
        <f t="shared" si="10"/>
        <v>12</v>
      </c>
      <c r="AE310">
        <f t="shared" si="11"/>
        <v>2024</v>
      </c>
      <c r="AG310" s="19">
        <v>45455</v>
      </c>
    </row>
    <row r="311" spans="1:33" x14ac:dyDescent="0.25">
      <c r="A311" s="25">
        <v>10310</v>
      </c>
      <c r="B311" s="67" t="s">
        <v>329</v>
      </c>
      <c r="C311" s="67" t="s">
        <v>329</v>
      </c>
      <c r="D311" s="68" t="s">
        <v>457</v>
      </c>
      <c r="E311" s="68">
        <v>2</v>
      </c>
      <c r="F311" s="114"/>
      <c r="G311" s="114"/>
      <c r="H311" s="67" t="s">
        <v>17</v>
      </c>
      <c r="I311" s="67" t="s">
        <v>8</v>
      </c>
      <c r="J311" s="115">
        <v>7.5999999999999998E-2</v>
      </c>
      <c r="K311" s="67">
        <v>2.4873333333333334</v>
      </c>
      <c r="L311" s="67">
        <v>6.5666666666666665E-2</v>
      </c>
      <c r="N311" t="s">
        <v>509</v>
      </c>
      <c r="O311">
        <v>39.716666666666661</v>
      </c>
      <c r="P311">
        <v>22.236666666666668</v>
      </c>
      <c r="Q311">
        <v>3.0924467142618632</v>
      </c>
      <c r="R311">
        <v>1.4740314221587432</v>
      </c>
      <c r="S311">
        <v>206.31299999999999</v>
      </c>
      <c r="T311">
        <v>283.89499999999998</v>
      </c>
      <c r="U311">
        <v>416.50799999999998</v>
      </c>
      <c r="V311">
        <v>469.23899999999998</v>
      </c>
      <c r="W311">
        <v>400.46699999999998</v>
      </c>
      <c r="X311">
        <v>360.86500000000001</v>
      </c>
      <c r="Y311">
        <v>430.38200000000001</v>
      </c>
      <c r="Z311">
        <v>396.95100000000002</v>
      </c>
      <c r="AC311">
        <f t="shared" si="9"/>
        <v>6</v>
      </c>
      <c r="AD311">
        <f t="shared" si="10"/>
        <v>12</v>
      </c>
      <c r="AE311">
        <f t="shared" si="11"/>
        <v>2024</v>
      </c>
      <c r="AG311" s="19">
        <v>45455</v>
      </c>
    </row>
    <row r="312" spans="1:33" x14ac:dyDescent="0.25">
      <c r="A312" s="25">
        <v>10311</v>
      </c>
      <c r="B312" s="67" t="s">
        <v>330</v>
      </c>
      <c r="C312" s="67" t="s">
        <v>330</v>
      </c>
      <c r="D312" s="68" t="s">
        <v>458</v>
      </c>
      <c r="E312" s="68">
        <v>3</v>
      </c>
      <c r="F312" s="114"/>
      <c r="G312" s="114"/>
      <c r="H312" s="67" t="s">
        <v>17</v>
      </c>
      <c r="I312" s="67" t="s">
        <v>8</v>
      </c>
      <c r="J312" s="115">
        <v>6.6666666666666671E-3</v>
      </c>
      <c r="K312" s="67">
        <v>2.4363333333333332</v>
      </c>
      <c r="L312" s="67">
        <v>4.4000000000000004E-2</v>
      </c>
      <c r="N312" t="s">
        <v>509</v>
      </c>
      <c r="O312">
        <v>87.555000000000007</v>
      </c>
      <c r="P312">
        <v>58.534999999999997</v>
      </c>
      <c r="Q312">
        <v>2.9843293678524301</v>
      </c>
      <c r="R312">
        <v>1.39792450520302</v>
      </c>
      <c r="S312">
        <v>219.26599999999999</v>
      </c>
      <c r="T312">
        <v>300.67200000000003</v>
      </c>
      <c r="U312">
        <v>431.80700000000002</v>
      </c>
      <c r="V312">
        <v>469.65100000000001</v>
      </c>
      <c r="W312">
        <v>420.69499999999999</v>
      </c>
      <c r="X312">
        <v>373.14400000000001</v>
      </c>
      <c r="Y312">
        <v>500.63499999999999</v>
      </c>
      <c r="Z312">
        <v>401.79500000000002</v>
      </c>
      <c r="AC312">
        <f t="shared" si="9"/>
        <v>6</v>
      </c>
      <c r="AD312">
        <f t="shared" si="10"/>
        <v>12</v>
      </c>
      <c r="AE312">
        <f t="shared" si="11"/>
        <v>2024</v>
      </c>
      <c r="AG312" s="19">
        <v>45455</v>
      </c>
    </row>
    <row r="313" spans="1:33" x14ac:dyDescent="0.25">
      <c r="A313" s="25">
        <v>10312</v>
      </c>
      <c r="B313" s="67" t="s">
        <v>331</v>
      </c>
      <c r="C313" s="67" t="s">
        <v>331</v>
      </c>
      <c r="D313" s="68" t="s">
        <v>459</v>
      </c>
      <c r="E313" s="68">
        <v>4</v>
      </c>
      <c r="F313" s="114"/>
      <c r="G313" s="114"/>
      <c r="H313" s="67" t="s">
        <v>17</v>
      </c>
      <c r="I313" s="67" t="s">
        <v>8</v>
      </c>
      <c r="J313" s="115">
        <v>2.2166666666666668E-2</v>
      </c>
      <c r="K313" s="67">
        <v>3.0116666666666667</v>
      </c>
      <c r="L313" s="67">
        <v>2.3333333333333331E-2</v>
      </c>
      <c r="N313" t="s">
        <v>509</v>
      </c>
      <c r="O313">
        <v>42.006666666666668</v>
      </c>
      <c r="P313">
        <v>11.333333333333334</v>
      </c>
      <c r="Q313">
        <v>2.7015609233969888</v>
      </c>
      <c r="R313">
        <v>1.7623399306264029</v>
      </c>
      <c r="S313">
        <v>177.934</v>
      </c>
      <c r="T313">
        <v>240.86500000000001</v>
      </c>
      <c r="U313">
        <v>361.12099999999998</v>
      </c>
      <c r="V313">
        <v>379.15300000000002</v>
      </c>
      <c r="W313">
        <v>350.78300000000002</v>
      </c>
      <c r="X313">
        <v>299.18900000000002</v>
      </c>
      <c r="Y313">
        <v>431.37</v>
      </c>
      <c r="Z313">
        <v>365.31099999999998</v>
      </c>
      <c r="AC313">
        <f t="shared" si="9"/>
        <v>6</v>
      </c>
      <c r="AD313">
        <f t="shared" si="10"/>
        <v>12</v>
      </c>
      <c r="AE313">
        <f t="shared" si="11"/>
        <v>2024</v>
      </c>
      <c r="AG313" s="19">
        <v>45455</v>
      </c>
    </row>
    <row r="314" spans="1:33" x14ac:dyDescent="0.25">
      <c r="A314" s="25">
        <v>10313</v>
      </c>
      <c r="B314" t="s">
        <v>332</v>
      </c>
      <c r="C314" t="s">
        <v>332</v>
      </c>
      <c r="D314" s="27" t="s">
        <v>460</v>
      </c>
      <c r="E314" s="27">
        <v>5</v>
      </c>
      <c r="F314" s="56"/>
      <c r="G314" s="56"/>
      <c r="H314" t="s">
        <v>17</v>
      </c>
      <c r="I314" t="s">
        <v>8</v>
      </c>
      <c r="J314">
        <v>1.0200000000000001E-2</v>
      </c>
      <c r="K314">
        <v>2.5129999999999999</v>
      </c>
      <c r="L314">
        <v>3.5999999999999997E-2</v>
      </c>
      <c r="N314" t="s">
        <v>509</v>
      </c>
      <c r="O314">
        <v>71.33</v>
      </c>
      <c r="P314">
        <v>4.4799999999999995</v>
      </c>
      <c r="Q314">
        <v>2.9791314185058226</v>
      </c>
      <c r="R314">
        <v>1.2346244984016868</v>
      </c>
      <c r="S314">
        <v>196.03</v>
      </c>
      <c r="T314">
        <v>297.02600000000001</v>
      </c>
      <c r="U314">
        <v>437.03899999999999</v>
      </c>
      <c r="V314">
        <v>478.58499999999998</v>
      </c>
      <c r="W314">
        <v>442.28300000000002</v>
      </c>
      <c r="X314">
        <v>381.73099999999999</v>
      </c>
      <c r="Y314">
        <v>457.13200000000001</v>
      </c>
      <c r="Z314">
        <v>400.04199999999997</v>
      </c>
      <c r="AC314">
        <f t="shared" si="9"/>
        <v>6</v>
      </c>
      <c r="AD314">
        <f t="shared" si="10"/>
        <v>12</v>
      </c>
      <c r="AE314">
        <f t="shared" si="11"/>
        <v>2024</v>
      </c>
      <c r="AG314" s="19">
        <v>45455</v>
      </c>
    </row>
    <row r="315" spans="1:33" x14ac:dyDescent="0.25">
      <c r="A315" s="25">
        <v>10314</v>
      </c>
      <c r="B315" t="s">
        <v>333</v>
      </c>
      <c r="C315" t="s">
        <v>333</v>
      </c>
      <c r="D315" s="27" t="s">
        <v>461</v>
      </c>
      <c r="E315" s="27">
        <v>6</v>
      </c>
      <c r="F315" s="56"/>
      <c r="G315" s="56"/>
      <c r="H315" t="s">
        <v>17</v>
      </c>
      <c r="I315" t="s">
        <v>8</v>
      </c>
      <c r="J315">
        <v>1.6400000000000001E-2</v>
      </c>
      <c r="K315">
        <v>2.335</v>
      </c>
      <c r="L315">
        <v>1.7999999999999999E-2</v>
      </c>
      <c r="N315" t="s">
        <v>509</v>
      </c>
      <c r="O315">
        <v>40.770000000000003</v>
      </c>
      <c r="P315">
        <v>34.32</v>
      </c>
      <c r="Q315">
        <v>3.251503964268049</v>
      </c>
      <c r="R315">
        <v>1.2226541522138341</v>
      </c>
      <c r="S315">
        <v>209.33799999999999</v>
      </c>
      <c r="T315">
        <v>290.846</v>
      </c>
      <c r="U315">
        <v>426.08</v>
      </c>
      <c r="V315">
        <v>453.29199999999997</v>
      </c>
      <c r="W315">
        <v>400.59300000000002</v>
      </c>
      <c r="X315">
        <v>354.20499999999998</v>
      </c>
      <c r="Y315">
        <v>405.86099999999999</v>
      </c>
      <c r="Z315">
        <v>404.54199999999997</v>
      </c>
      <c r="AC315">
        <f t="shared" si="9"/>
        <v>6</v>
      </c>
      <c r="AD315">
        <f t="shared" si="10"/>
        <v>12</v>
      </c>
      <c r="AE315">
        <f t="shared" si="11"/>
        <v>2024</v>
      </c>
      <c r="AG315" s="19">
        <v>45455</v>
      </c>
    </row>
    <row r="316" spans="1:33" x14ac:dyDescent="0.25">
      <c r="A316" s="25">
        <v>10315</v>
      </c>
      <c r="B316" t="s">
        <v>334</v>
      </c>
      <c r="C316" t="s">
        <v>334</v>
      </c>
      <c r="D316" s="27" t="s">
        <v>462</v>
      </c>
      <c r="E316" s="27">
        <v>7</v>
      </c>
      <c r="F316" s="56"/>
      <c r="G316" s="56"/>
      <c r="H316" t="s">
        <v>17</v>
      </c>
      <c r="I316" t="s">
        <v>8</v>
      </c>
      <c r="J316">
        <v>-6.7999999999999996E-3</v>
      </c>
      <c r="K316">
        <v>1.7130000000000001</v>
      </c>
      <c r="L316">
        <v>0.04</v>
      </c>
      <c r="N316" t="s">
        <v>509</v>
      </c>
      <c r="O316">
        <v>61.83</v>
      </c>
      <c r="P316">
        <v>5.3</v>
      </c>
      <c r="Q316">
        <v>2.9063601276533193</v>
      </c>
      <c r="R316">
        <v>0.9546816295994015</v>
      </c>
      <c r="S316">
        <v>196.32599999999999</v>
      </c>
      <c r="T316">
        <v>275.49200000000002</v>
      </c>
      <c r="U316">
        <v>406.375</v>
      </c>
      <c r="V316">
        <v>470.673</v>
      </c>
      <c r="W316">
        <v>385.88400000000001</v>
      </c>
      <c r="X316">
        <v>349.34500000000003</v>
      </c>
      <c r="Y316">
        <v>400.233</v>
      </c>
      <c r="Z316">
        <v>326.65600000000001</v>
      </c>
      <c r="AC316">
        <f t="shared" si="9"/>
        <v>6</v>
      </c>
      <c r="AD316">
        <f t="shared" si="10"/>
        <v>12</v>
      </c>
      <c r="AE316">
        <f t="shared" si="11"/>
        <v>2024</v>
      </c>
      <c r="AG316" s="19">
        <v>45455</v>
      </c>
    </row>
    <row r="317" spans="1:33" x14ac:dyDescent="0.25">
      <c r="A317" s="25">
        <v>10316</v>
      </c>
      <c r="B317" s="67" t="s">
        <v>335</v>
      </c>
      <c r="C317" s="67" t="s">
        <v>335</v>
      </c>
      <c r="D317" s="68" t="s">
        <v>463</v>
      </c>
      <c r="E317" s="68">
        <v>8</v>
      </c>
      <c r="F317" s="114"/>
      <c r="G317" s="114"/>
      <c r="H317" s="67" t="s">
        <v>17</v>
      </c>
      <c r="I317" s="67" t="s">
        <v>8</v>
      </c>
      <c r="J317" s="115">
        <v>2.463333333333333E-2</v>
      </c>
      <c r="K317" s="67">
        <v>2.6583333333333332</v>
      </c>
      <c r="L317" s="67">
        <v>6.4000000000000001E-2</v>
      </c>
      <c r="N317" t="s">
        <v>509</v>
      </c>
      <c r="O317">
        <v>38.685000000000002</v>
      </c>
      <c r="P317">
        <v>26.08</v>
      </c>
      <c r="Q317">
        <v>3.0269525524946106</v>
      </c>
      <c r="R317">
        <v>1.5025970210161192</v>
      </c>
      <c r="S317">
        <v>189.47800000000001</v>
      </c>
      <c r="T317">
        <v>284.76499999999999</v>
      </c>
      <c r="U317">
        <v>404.34199999999998</v>
      </c>
      <c r="V317">
        <v>471.09800000000001</v>
      </c>
      <c r="W317">
        <v>391.89100000000002</v>
      </c>
      <c r="X317">
        <v>352.83</v>
      </c>
      <c r="Y317">
        <v>422.89600000000002</v>
      </c>
      <c r="Z317">
        <v>346.33300000000003</v>
      </c>
      <c r="AC317">
        <f t="shared" si="9"/>
        <v>6</v>
      </c>
      <c r="AD317">
        <f t="shared" si="10"/>
        <v>12</v>
      </c>
      <c r="AE317">
        <f t="shared" si="11"/>
        <v>2024</v>
      </c>
      <c r="AG317" s="19">
        <v>45455</v>
      </c>
    </row>
    <row r="318" spans="1:33" x14ac:dyDescent="0.25">
      <c r="A318" s="25">
        <v>10317</v>
      </c>
      <c r="B318" t="s">
        <v>336</v>
      </c>
      <c r="C318" t="s">
        <v>336</v>
      </c>
      <c r="D318" s="27" t="s">
        <v>464</v>
      </c>
      <c r="E318" s="27">
        <v>9</v>
      </c>
      <c r="F318" s="56"/>
      <c r="G318" s="56"/>
      <c r="H318" t="s">
        <v>17</v>
      </c>
      <c r="I318" t="s">
        <v>8</v>
      </c>
      <c r="J318">
        <v>2.3099999999999999E-2</v>
      </c>
      <c r="K318">
        <v>2.427</v>
      </c>
      <c r="L318">
        <v>0.06</v>
      </c>
      <c r="N318" t="s">
        <v>509</v>
      </c>
      <c r="O318">
        <v>16.743333333333336</v>
      </c>
      <c r="P318">
        <v>8.1</v>
      </c>
      <c r="Q318">
        <v>3.3097209969500514</v>
      </c>
      <c r="R318">
        <v>1.7431601713935931</v>
      </c>
      <c r="S318">
        <v>197.376</v>
      </c>
      <c r="T318">
        <v>270.86399999999998</v>
      </c>
      <c r="U318">
        <v>390.149</v>
      </c>
      <c r="V318">
        <v>449.55900000000003</v>
      </c>
      <c r="W318">
        <v>384.97300000000001</v>
      </c>
      <c r="X318">
        <v>351.07600000000002</v>
      </c>
      <c r="Y318">
        <v>350.88</v>
      </c>
      <c r="Z318">
        <v>305.39699999999999</v>
      </c>
      <c r="AC318">
        <f t="shared" si="9"/>
        <v>6</v>
      </c>
      <c r="AD318">
        <f t="shared" si="10"/>
        <v>12</v>
      </c>
      <c r="AE318">
        <f t="shared" si="11"/>
        <v>2024</v>
      </c>
      <c r="AG318" s="19">
        <v>45455</v>
      </c>
    </row>
    <row r="319" spans="1:33" x14ac:dyDescent="0.25">
      <c r="A319" s="25">
        <v>10318</v>
      </c>
      <c r="B319" t="s">
        <v>337</v>
      </c>
      <c r="C319" t="s">
        <v>337</v>
      </c>
      <c r="D319" s="27" t="s">
        <v>465</v>
      </c>
      <c r="E319" s="27">
        <v>10</v>
      </c>
      <c r="F319" s="56"/>
      <c r="G319" s="56"/>
      <c r="H319" t="s">
        <v>17</v>
      </c>
      <c r="I319" t="s">
        <v>8</v>
      </c>
      <c r="J319">
        <v>6.0000000000000001E-3</v>
      </c>
      <c r="K319">
        <v>2.351</v>
      </c>
      <c r="L319">
        <v>5.8999999999999997E-2</v>
      </c>
      <c r="N319" t="s">
        <v>509</v>
      </c>
      <c r="O319">
        <v>20.553333333333331</v>
      </c>
      <c r="P319">
        <v>27.79666666666667</v>
      </c>
      <c r="Q319">
        <v>2.9578198261847324</v>
      </c>
      <c r="R319">
        <v>1.5434050193837994</v>
      </c>
      <c r="S319">
        <v>207.352</v>
      </c>
      <c r="T319">
        <v>285.62700000000001</v>
      </c>
      <c r="U319">
        <v>412.27800000000002</v>
      </c>
      <c r="V319">
        <v>472.49900000000002</v>
      </c>
      <c r="W319">
        <v>396.11500000000001</v>
      </c>
      <c r="X319">
        <v>363.15199999999999</v>
      </c>
      <c r="Y319">
        <v>387.09</v>
      </c>
      <c r="Z319">
        <v>366.209</v>
      </c>
      <c r="AC319">
        <f t="shared" si="9"/>
        <v>6</v>
      </c>
      <c r="AD319">
        <f t="shared" si="10"/>
        <v>12</v>
      </c>
      <c r="AE319">
        <f t="shared" si="11"/>
        <v>2024</v>
      </c>
      <c r="AG319" s="19">
        <v>45455</v>
      </c>
    </row>
    <row r="320" spans="1:33" x14ac:dyDescent="0.25">
      <c r="A320" s="25">
        <v>10319</v>
      </c>
      <c r="B320" t="s">
        <v>338</v>
      </c>
      <c r="C320" t="s">
        <v>338</v>
      </c>
      <c r="D320" s="27" t="s">
        <v>466</v>
      </c>
      <c r="E320" s="27">
        <v>11</v>
      </c>
      <c r="F320" s="56"/>
      <c r="G320" s="56"/>
      <c r="H320" t="s">
        <v>17</v>
      </c>
      <c r="I320" t="s">
        <v>8</v>
      </c>
      <c r="J320">
        <v>-7.1000000000000004E-3</v>
      </c>
      <c r="K320">
        <v>2.38</v>
      </c>
      <c r="L320">
        <v>6.9000000000000006E-2</v>
      </c>
      <c r="N320" t="s">
        <v>509</v>
      </c>
      <c r="O320">
        <v>48.42</v>
      </c>
      <c r="P320">
        <v>37.995000000000005</v>
      </c>
      <c r="Q320">
        <v>3.085169585176613</v>
      </c>
      <c r="R320">
        <v>1.566053458477862</v>
      </c>
      <c r="S320">
        <v>195.47399999999999</v>
      </c>
      <c r="T320">
        <v>281.11799999999999</v>
      </c>
      <c r="U320">
        <v>399.63200000000001</v>
      </c>
      <c r="V320">
        <v>462.21499999999997</v>
      </c>
      <c r="W320">
        <v>370.37400000000002</v>
      </c>
      <c r="X320">
        <v>341.142</v>
      </c>
      <c r="Y320">
        <v>400.07100000000003</v>
      </c>
      <c r="Z320">
        <v>323.428</v>
      </c>
      <c r="AC320">
        <f t="shared" si="9"/>
        <v>6</v>
      </c>
      <c r="AD320">
        <f t="shared" si="10"/>
        <v>12</v>
      </c>
      <c r="AE320">
        <f t="shared" si="11"/>
        <v>2024</v>
      </c>
      <c r="AG320" s="19">
        <v>45455</v>
      </c>
    </row>
    <row r="321" spans="1:33" x14ac:dyDescent="0.25">
      <c r="A321" s="25">
        <v>10320</v>
      </c>
      <c r="B321" t="s">
        <v>339</v>
      </c>
      <c r="C321" t="s">
        <v>339</v>
      </c>
      <c r="D321" s="27" t="s">
        <v>467</v>
      </c>
      <c r="E321" s="27">
        <v>12</v>
      </c>
      <c r="F321" s="56"/>
      <c r="G321" s="56"/>
      <c r="H321" t="s">
        <v>17</v>
      </c>
      <c r="I321" t="s">
        <v>8</v>
      </c>
      <c r="J321">
        <v>-1.1999999999999999E-3</v>
      </c>
      <c r="K321">
        <v>2.2639999999999998</v>
      </c>
      <c r="L321">
        <v>6.8000000000000005E-2</v>
      </c>
      <c r="N321" t="s">
        <v>509</v>
      </c>
      <c r="O321">
        <v>37.89</v>
      </c>
      <c r="P321">
        <v>39.58</v>
      </c>
      <c r="Q321">
        <v>3.3388295132910524</v>
      </c>
      <c r="R321">
        <v>1.6019644970414202</v>
      </c>
      <c r="S321">
        <v>197.63499999999999</v>
      </c>
      <c r="T321">
        <v>275.97500000000002</v>
      </c>
      <c r="U321">
        <v>396.01499999999999</v>
      </c>
      <c r="V321">
        <v>461.95100000000002</v>
      </c>
      <c r="W321">
        <v>376.846</v>
      </c>
      <c r="X321">
        <v>342.74</v>
      </c>
      <c r="Y321">
        <v>399.78</v>
      </c>
      <c r="Z321">
        <v>319.15899999999999</v>
      </c>
      <c r="AC321">
        <f t="shared" si="9"/>
        <v>6</v>
      </c>
      <c r="AD321">
        <f t="shared" si="10"/>
        <v>12</v>
      </c>
      <c r="AE321">
        <f t="shared" si="11"/>
        <v>2024</v>
      </c>
      <c r="AG321" s="19">
        <v>45455</v>
      </c>
    </row>
    <row r="322" spans="1:33" x14ac:dyDescent="0.25">
      <c r="A322" s="25">
        <v>10321</v>
      </c>
      <c r="B322" t="s">
        <v>340</v>
      </c>
      <c r="C322" t="s">
        <v>340</v>
      </c>
      <c r="D322" s="27" t="s">
        <v>468</v>
      </c>
      <c r="E322" s="27">
        <v>13</v>
      </c>
      <c r="F322" s="56"/>
      <c r="G322" s="56"/>
      <c r="H322" t="s">
        <v>17</v>
      </c>
      <c r="I322" t="s">
        <v>8</v>
      </c>
      <c r="J322">
        <v>4.3E-3</v>
      </c>
      <c r="K322">
        <v>2.3530000000000002</v>
      </c>
      <c r="L322">
        <v>2.5000000000000001E-2</v>
      </c>
      <c r="N322" t="s">
        <v>509</v>
      </c>
      <c r="O322" t="s">
        <v>509</v>
      </c>
      <c r="P322" t="s">
        <v>509</v>
      </c>
      <c r="Q322">
        <v>3.0602194283128976</v>
      </c>
      <c r="R322">
        <v>1.5717665782493371</v>
      </c>
      <c r="S322">
        <v>202.89500000000001</v>
      </c>
      <c r="T322">
        <v>291.48599999999999</v>
      </c>
      <c r="U322">
        <v>432.08300000000003</v>
      </c>
      <c r="V322">
        <v>478.09100000000001</v>
      </c>
      <c r="W322">
        <v>427.91500000000002</v>
      </c>
      <c r="X322">
        <v>365.62400000000002</v>
      </c>
      <c r="Y322">
        <v>439.44499999999999</v>
      </c>
      <c r="Z322">
        <v>397.91800000000001</v>
      </c>
      <c r="AC322">
        <f t="shared" si="9"/>
        <v>6</v>
      </c>
      <c r="AD322">
        <f t="shared" si="10"/>
        <v>12</v>
      </c>
      <c r="AE322">
        <f t="shared" si="11"/>
        <v>2024</v>
      </c>
      <c r="AG322" s="19">
        <v>45455</v>
      </c>
    </row>
    <row r="323" spans="1:33" x14ac:dyDescent="0.25">
      <c r="A323" s="25">
        <v>10322</v>
      </c>
      <c r="B323" t="s">
        <v>341</v>
      </c>
      <c r="C323" t="s">
        <v>341</v>
      </c>
      <c r="D323" s="27" t="s">
        <v>497</v>
      </c>
      <c r="E323" s="27">
        <v>1</v>
      </c>
      <c r="F323"/>
      <c r="G323"/>
      <c r="H323" t="s">
        <v>18</v>
      </c>
      <c r="I323" t="s">
        <v>8</v>
      </c>
      <c r="J323">
        <v>2.5999999999999999E-3</v>
      </c>
      <c r="K323">
        <v>2.2789999999999999</v>
      </c>
      <c r="L323">
        <v>0.154</v>
      </c>
      <c r="N323" s="41">
        <v>0.15</v>
      </c>
      <c r="O323">
        <v>33.06666666666667</v>
      </c>
      <c r="P323">
        <v>45.78</v>
      </c>
      <c r="Q323" s="27">
        <v>2.4728177331931072</v>
      </c>
      <c r="R323" s="27">
        <v>1.4402379736275062</v>
      </c>
      <c r="S323" s="27">
        <v>168.483</v>
      </c>
      <c r="T323" s="27">
        <v>272.15499999999997</v>
      </c>
      <c r="U323" s="27">
        <v>377.65499999999997</v>
      </c>
      <c r="V323" s="27">
        <v>455.666</v>
      </c>
      <c r="W323" s="27">
        <v>398.94900000000001</v>
      </c>
      <c r="X323" s="27">
        <v>332.40899999999999</v>
      </c>
      <c r="Y323" s="27">
        <v>398.71</v>
      </c>
      <c r="Z323" s="27">
        <v>470.53699999999998</v>
      </c>
      <c r="AC323">
        <f t="shared" si="9"/>
        <v>6</v>
      </c>
      <c r="AD323">
        <f t="shared" si="10"/>
        <v>13</v>
      </c>
      <c r="AE323">
        <f t="shared" si="11"/>
        <v>2024</v>
      </c>
      <c r="AG323" s="19">
        <v>45456</v>
      </c>
    </row>
    <row r="324" spans="1:33" x14ac:dyDescent="0.25">
      <c r="A324" s="25">
        <v>10323</v>
      </c>
      <c r="B324" t="s">
        <v>342</v>
      </c>
      <c r="C324" t="s">
        <v>342</v>
      </c>
      <c r="D324" s="27" t="s">
        <v>498</v>
      </c>
      <c r="E324" s="27">
        <v>5</v>
      </c>
      <c r="F324"/>
      <c r="G324"/>
      <c r="H324" t="s">
        <v>18</v>
      </c>
      <c r="I324" t="s">
        <v>8</v>
      </c>
      <c r="J324">
        <v>-1.4E-3</v>
      </c>
      <c r="K324">
        <v>2.58</v>
      </c>
      <c r="L324">
        <v>0.252</v>
      </c>
      <c r="N324">
        <v>0.20767000509777853</v>
      </c>
      <c r="O324">
        <v>48.196666666666665</v>
      </c>
      <c r="P324">
        <v>15.299999999999999</v>
      </c>
      <c r="Q324" s="27">
        <v>2.7038872259525926</v>
      </c>
      <c r="R324" s="27">
        <v>1.6492898049215483</v>
      </c>
      <c r="S324" s="27">
        <v>287.95499999999998</v>
      </c>
      <c r="T324" s="27">
        <v>418.98399999999998</v>
      </c>
      <c r="U324" s="27">
        <v>510.88900000000001</v>
      </c>
      <c r="V324" s="27">
        <v>576.97199999999998</v>
      </c>
      <c r="W324" s="27">
        <v>517.68700000000001</v>
      </c>
      <c r="X324" s="27">
        <v>492.89699999999999</v>
      </c>
      <c r="Y324" s="27">
        <v>501.60700000000003</v>
      </c>
      <c r="Z324" s="27">
        <v>642.83000000000004</v>
      </c>
      <c r="AC324">
        <f t="shared" si="9"/>
        <v>6</v>
      </c>
      <c r="AD324">
        <f t="shared" si="10"/>
        <v>13</v>
      </c>
      <c r="AE324">
        <f t="shared" si="11"/>
        <v>2024</v>
      </c>
      <c r="AG324" s="19">
        <v>45456</v>
      </c>
    </row>
    <row r="325" spans="1:33" x14ac:dyDescent="0.25">
      <c r="A325" s="25">
        <v>10324</v>
      </c>
      <c r="B325" t="s">
        <v>343</v>
      </c>
      <c r="C325" t="s">
        <v>343</v>
      </c>
      <c r="D325" s="27" t="s">
        <v>477</v>
      </c>
      <c r="E325" s="27">
        <v>6</v>
      </c>
      <c r="F325"/>
      <c r="G325"/>
      <c r="H325" t="s">
        <v>18</v>
      </c>
      <c r="I325" t="s">
        <v>8</v>
      </c>
      <c r="J325">
        <v>-3.0000000000000001E-3</v>
      </c>
      <c r="K325">
        <v>3.7290000000000001</v>
      </c>
      <c r="L325">
        <v>0.25600000000000001</v>
      </c>
      <c r="N325">
        <v>0.15314518702982555</v>
      </c>
      <c r="O325">
        <v>0.69</v>
      </c>
      <c r="P325">
        <v>1.61</v>
      </c>
      <c r="Q325" s="27">
        <v>2.668493649381118</v>
      </c>
      <c r="R325" s="27">
        <v>1.716485036408919</v>
      </c>
      <c r="S325" s="27">
        <v>294.44600000000003</v>
      </c>
      <c r="T325" s="27">
        <v>410.02800000000002</v>
      </c>
      <c r="U325" s="27">
        <v>463.17099999999999</v>
      </c>
      <c r="V325" s="27">
        <v>504.30900000000003</v>
      </c>
      <c r="W325" s="27">
        <v>482.34399999999999</v>
      </c>
      <c r="X325" s="27">
        <v>489.68</v>
      </c>
      <c r="Y325" s="27">
        <v>444.24599999999998</v>
      </c>
      <c r="Z325" s="27">
        <v>636.678</v>
      </c>
      <c r="AC325">
        <f t="shared" si="9"/>
        <v>6</v>
      </c>
      <c r="AD325">
        <f t="shared" si="10"/>
        <v>13</v>
      </c>
      <c r="AE325">
        <f t="shared" si="11"/>
        <v>2024</v>
      </c>
      <c r="AG325" s="19">
        <v>45456</v>
      </c>
    </row>
    <row r="326" spans="1:33" x14ac:dyDescent="0.25">
      <c r="A326" s="25">
        <v>10325</v>
      </c>
      <c r="B326" t="s">
        <v>344</v>
      </c>
      <c r="C326" t="s">
        <v>344</v>
      </c>
      <c r="D326" s="27" t="s">
        <v>478</v>
      </c>
      <c r="E326" s="27">
        <v>8</v>
      </c>
      <c r="F326"/>
      <c r="G326"/>
      <c r="H326" t="s">
        <v>18</v>
      </c>
      <c r="I326" t="s">
        <v>8</v>
      </c>
      <c r="J326">
        <v>1.9400000000000001E-2</v>
      </c>
      <c r="K326">
        <v>4.3680000000000003</v>
      </c>
      <c r="L326">
        <v>0.11799999999999999</v>
      </c>
      <c r="N326">
        <v>5.4058683499071079E-2</v>
      </c>
      <c r="O326">
        <v>4.1033333333333326</v>
      </c>
      <c r="P326">
        <v>2.3266666666666667</v>
      </c>
      <c r="Q326" s="27">
        <v>2.1183763449559097</v>
      </c>
      <c r="R326" s="27">
        <v>2.4439289088172416</v>
      </c>
      <c r="S326" s="27">
        <v>289.01299999999998</v>
      </c>
      <c r="T326" s="27">
        <v>420.99700000000001</v>
      </c>
      <c r="U326" s="27">
        <v>483.27800000000002</v>
      </c>
      <c r="V326" s="27">
        <v>535.97900000000004</v>
      </c>
      <c r="W326" s="27">
        <v>510.08800000000002</v>
      </c>
      <c r="X326" s="27">
        <v>510.20499999999998</v>
      </c>
      <c r="Y326" s="27">
        <v>451.40600000000001</v>
      </c>
      <c r="Z326" s="27">
        <v>552.40700000000004</v>
      </c>
      <c r="AC326">
        <f t="shared" si="9"/>
        <v>6</v>
      </c>
      <c r="AD326">
        <f t="shared" si="10"/>
        <v>13</v>
      </c>
      <c r="AE326">
        <f t="shared" si="11"/>
        <v>2024</v>
      </c>
      <c r="AG326" s="19">
        <v>45456</v>
      </c>
    </row>
    <row r="327" spans="1:33" x14ac:dyDescent="0.25">
      <c r="A327" s="25">
        <v>10326</v>
      </c>
      <c r="B327" t="s">
        <v>345</v>
      </c>
      <c r="C327" t="s">
        <v>345</v>
      </c>
      <c r="D327" s="27" t="s">
        <v>479</v>
      </c>
      <c r="E327" s="27">
        <v>9</v>
      </c>
      <c r="F327"/>
      <c r="G327"/>
      <c r="H327" t="s">
        <v>18</v>
      </c>
      <c r="I327" t="s">
        <v>8</v>
      </c>
      <c r="J327">
        <v>1.6899999999999998E-2</v>
      </c>
      <c r="K327">
        <v>2.7010000000000001</v>
      </c>
      <c r="L327">
        <v>0.22</v>
      </c>
      <c r="N327">
        <v>5.0012078729207099E-2</v>
      </c>
      <c r="O327">
        <v>26.650000000000002</v>
      </c>
      <c r="P327">
        <v>32.946666666666665</v>
      </c>
      <c r="Q327" s="27">
        <v>2.786809319634334</v>
      </c>
      <c r="R327" s="27">
        <v>1.1530943868211143</v>
      </c>
      <c r="S327" s="27">
        <v>299.28899999999999</v>
      </c>
      <c r="T327" s="27">
        <v>402.33</v>
      </c>
      <c r="U327" s="27">
        <v>487.93700000000001</v>
      </c>
      <c r="V327" s="27">
        <v>538.04200000000003</v>
      </c>
      <c r="W327" s="27">
        <v>532.86699999999996</v>
      </c>
      <c r="X327" s="27">
        <v>490.98200000000003</v>
      </c>
      <c r="Y327" s="27">
        <v>551.95899999999995</v>
      </c>
      <c r="Z327" s="27">
        <v>725.90899999999999</v>
      </c>
      <c r="AC327">
        <f t="shared" si="9"/>
        <v>6</v>
      </c>
      <c r="AD327">
        <f t="shared" si="10"/>
        <v>13</v>
      </c>
      <c r="AE327">
        <f t="shared" si="11"/>
        <v>2024</v>
      </c>
      <c r="AG327" s="19">
        <v>45456</v>
      </c>
    </row>
    <row r="328" spans="1:33" x14ac:dyDescent="0.25">
      <c r="A328" s="25">
        <v>10327</v>
      </c>
      <c r="B328" t="s">
        <v>346</v>
      </c>
      <c r="C328" t="s">
        <v>346</v>
      </c>
      <c r="D328" s="27" t="s">
        <v>480</v>
      </c>
      <c r="E328" s="27">
        <v>10</v>
      </c>
      <c r="F328"/>
      <c r="G328"/>
      <c r="H328" t="s">
        <v>18</v>
      </c>
      <c r="I328" t="s">
        <v>8</v>
      </c>
      <c r="J328">
        <v>4.7899999999999998E-2</v>
      </c>
      <c r="K328">
        <v>2.5390000000000001</v>
      </c>
      <c r="L328">
        <v>0.16500000000000001</v>
      </c>
      <c r="N328">
        <v>0.12300938510614215</v>
      </c>
      <c r="O328">
        <v>17.513333333333332</v>
      </c>
      <c r="P328">
        <v>18.7</v>
      </c>
      <c r="Q328" s="27">
        <v>2.5117506674217296</v>
      </c>
      <c r="R328" s="27">
        <v>1.4763579328954921</v>
      </c>
      <c r="S328" s="27">
        <v>326.209</v>
      </c>
      <c r="T328" s="27">
        <v>407.52699999999999</v>
      </c>
      <c r="U328" s="27">
        <v>462.06799999999998</v>
      </c>
      <c r="V328" s="27">
        <v>526.91200000000003</v>
      </c>
      <c r="W328" s="27">
        <v>516.46799999999996</v>
      </c>
      <c r="X328" s="27">
        <v>488.22199999999998</v>
      </c>
      <c r="Y328" s="27">
        <v>490.06799999999998</v>
      </c>
      <c r="Z328" s="27">
        <v>581.46299999999997</v>
      </c>
      <c r="AC328">
        <f t="shared" si="9"/>
        <v>6</v>
      </c>
      <c r="AD328">
        <f t="shared" si="10"/>
        <v>13</v>
      </c>
      <c r="AE328">
        <f t="shared" si="11"/>
        <v>2024</v>
      </c>
      <c r="AG328" s="19">
        <v>45456</v>
      </c>
    </row>
    <row r="329" spans="1:33" x14ac:dyDescent="0.25">
      <c r="A329" s="25">
        <v>10328</v>
      </c>
      <c r="B329" t="s">
        <v>347</v>
      </c>
      <c r="C329" t="s">
        <v>347</v>
      </c>
      <c r="D329" s="27" t="s">
        <v>481</v>
      </c>
      <c r="E329" s="27">
        <v>11</v>
      </c>
      <c r="F329"/>
      <c r="G329"/>
      <c r="H329" t="s">
        <v>18</v>
      </c>
      <c r="I329" t="s">
        <v>8</v>
      </c>
      <c r="J329">
        <v>2.0999999999999999E-3</v>
      </c>
      <c r="K329">
        <v>2.6720000000000002</v>
      </c>
      <c r="L329">
        <v>0.188</v>
      </c>
      <c r="N329">
        <v>0.44766430882449798</v>
      </c>
      <c r="O329">
        <v>44.85</v>
      </c>
      <c r="P329">
        <v>42.493333333333332</v>
      </c>
      <c r="Q329" s="27">
        <v>2.9870358385243909</v>
      </c>
      <c r="R329" s="27">
        <v>1.8765025095905556</v>
      </c>
      <c r="S329" s="27">
        <v>361.13</v>
      </c>
      <c r="T329" s="27">
        <v>468.84300000000002</v>
      </c>
      <c r="U329" s="27">
        <v>553.65200000000004</v>
      </c>
      <c r="V329" s="27">
        <v>620.76900000000001</v>
      </c>
      <c r="W329" s="27">
        <v>611.28800000000001</v>
      </c>
      <c r="X329" s="27">
        <v>560.35699999999997</v>
      </c>
      <c r="Y329" s="27">
        <v>597.79399999999998</v>
      </c>
      <c r="Z329" s="27">
        <v>679.19799999999998</v>
      </c>
      <c r="AC329">
        <f t="shared" si="9"/>
        <v>6</v>
      </c>
      <c r="AD329">
        <f t="shared" si="10"/>
        <v>13</v>
      </c>
      <c r="AE329">
        <f t="shared" si="11"/>
        <v>2024</v>
      </c>
      <c r="AG329" s="19">
        <v>45456</v>
      </c>
    </row>
    <row r="330" spans="1:33" x14ac:dyDescent="0.25">
      <c r="A330" s="25">
        <v>10329</v>
      </c>
      <c r="B330" t="s">
        <v>348</v>
      </c>
      <c r="C330" t="s">
        <v>348</v>
      </c>
      <c r="D330" s="27" t="s">
        <v>482</v>
      </c>
      <c r="E330" s="27">
        <v>12</v>
      </c>
      <c r="F330"/>
      <c r="G330"/>
      <c r="H330" t="s">
        <v>18</v>
      </c>
      <c r="I330" t="s">
        <v>8</v>
      </c>
      <c r="J330">
        <v>-9.7000000000000003E-3</v>
      </c>
      <c r="K330">
        <v>2.7610000000000001</v>
      </c>
      <c r="L330">
        <v>0.23899999999999999</v>
      </c>
      <c r="N330">
        <v>0.80374419829372346</v>
      </c>
      <c r="O330">
        <v>40.43333333333333</v>
      </c>
      <c r="P330">
        <v>21.553333333333331</v>
      </c>
      <c r="Q330" s="27">
        <v>2.8348434592670495</v>
      </c>
      <c r="R330" s="27">
        <v>1.7076063872033806</v>
      </c>
      <c r="S330" s="27">
        <v>321.22500000000002</v>
      </c>
      <c r="T330" s="27">
        <v>424.97500000000002</v>
      </c>
      <c r="U330" s="27">
        <v>502.17099999999999</v>
      </c>
      <c r="V330" s="27">
        <v>554.06799999999998</v>
      </c>
      <c r="W330" s="27">
        <v>538.553</v>
      </c>
      <c r="X330" s="27">
        <v>506.01499999999999</v>
      </c>
      <c r="Y330" s="27">
        <v>546.38599999999997</v>
      </c>
      <c r="Z330" s="27">
        <v>627.28499999999997</v>
      </c>
      <c r="AC330">
        <f t="shared" si="9"/>
        <v>6</v>
      </c>
      <c r="AD330">
        <f t="shared" si="10"/>
        <v>13</v>
      </c>
      <c r="AE330">
        <f t="shared" si="11"/>
        <v>2024</v>
      </c>
      <c r="AG330" s="19">
        <v>45456</v>
      </c>
    </row>
    <row r="331" spans="1:33" x14ac:dyDescent="0.25">
      <c r="A331" s="25">
        <v>10330</v>
      </c>
      <c r="B331" t="s">
        <v>349</v>
      </c>
      <c r="C331" t="s">
        <v>349</v>
      </c>
      <c r="D331" s="27" t="s">
        <v>483</v>
      </c>
      <c r="E331" s="27">
        <v>14</v>
      </c>
      <c r="F331"/>
      <c r="G331"/>
      <c r="H331" t="s">
        <v>18</v>
      </c>
      <c r="I331" t="s">
        <v>8</v>
      </c>
      <c r="J331">
        <v>1.9900000000000001E-2</v>
      </c>
      <c r="K331">
        <v>2.6760000000000002</v>
      </c>
      <c r="L331">
        <v>0.17599999999999999</v>
      </c>
      <c r="N331">
        <v>0.20173514905278223</v>
      </c>
      <c r="O331">
        <v>8.5166666666666675</v>
      </c>
      <c r="P331">
        <v>4.7133333333333338</v>
      </c>
      <c r="Q331" s="27">
        <v>2.3019173206051291</v>
      </c>
      <c r="R331" s="27">
        <v>1.4049251642872962</v>
      </c>
      <c r="S331" s="27">
        <v>369.02300000000002</v>
      </c>
      <c r="T331" s="27">
        <v>524.81399999999996</v>
      </c>
      <c r="U331" s="27">
        <v>584.74300000000005</v>
      </c>
      <c r="V331" s="27">
        <v>632.80700000000002</v>
      </c>
      <c r="W331" s="27">
        <v>609.99300000000005</v>
      </c>
      <c r="X331" s="27">
        <v>620.36</v>
      </c>
      <c r="Y331" s="27">
        <v>557.12</v>
      </c>
      <c r="Z331" s="27">
        <v>700.74800000000005</v>
      </c>
      <c r="AC331">
        <f t="shared" si="9"/>
        <v>6</v>
      </c>
      <c r="AD331">
        <f t="shared" si="10"/>
        <v>13</v>
      </c>
      <c r="AE331">
        <f t="shared" si="11"/>
        <v>2024</v>
      </c>
      <c r="AG331" s="19">
        <v>45456</v>
      </c>
    </row>
    <row r="332" spans="1:33" x14ac:dyDescent="0.25">
      <c r="A332" s="25">
        <v>10331</v>
      </c>
      <c r="B332" t="s">
        <v>350</v>
      </c>
      <c r="C332" t="s">
        <v>350</v>
      </c>
      <c r="D332" s="27" t="s">
        <v>484</v>
      </c>
      <c r="E332" s="27">
        <v>15</v>
      </c>
      <c r="F332"/>
      <c r="G332"/>
      <c r="H332" t="s">
        <v>18</v>
      </c>
      <c r="I332" t="s">
        <v>8</v>
      </c>
      <c r="J332">
        <v>-0.01</v>
      </c>
      <c r="K332">
        <v>2.508</v>
      </c>
      <c r="L332">
        <v>0.193</v>
      </c>
      <c r="N332">
        <v>7.0698538434283517E-2</v>
      </c>
      <c r="O332">
        <v>20.923333333333332</v>
      </c>
      <c r="P332">
        <v>7.1533333333333333</v>
      </c>
      <c r="Q332" s="27">
        <v>2.550683601650352</v>
      </c>
      <c r="R332" s="27">
        <v>1.5808838485425134</v>
      </c>
      <c r="S332" s="27">
        <v>344.40199999999999</v>
      </c>
      <c r="T332" s="27">
        <v>468.19400000000002</v>
      </c>
      <c r="U332" s="27">
        <v>526.04499999999996</v>
      </c>
      <c r="V332" s="27">
        <v>578.63099999999997</v>
      </c>
      <c r="W332" s="27">
        <v>561.01400000000001</v>
      </c>
      <c r="X332" s="27">
        <v>553.74199999999996</v>
      </c>
      <c r="Y332" s="27">
        <v>534.45699999999999</v>
      </c>
      <c r="Z332" s="27">
        <v>651.33399999999995</v>
      </c>
      <c r="AC332">
        <f t="shared" ref="AC332:AC363" si="12">MONTH(AG332)</f>
        <v>6</v>
      </c>
      <c r="AD332">
        <f t="shared" ref="AD332:AD363" si="13">DAY(AG332)</f>
        <v>13</v>
      </c>
      <c r="AE332">
        <f t="shared" ref="AE332:AE363" si="14">YEAR(AG332)</f>
        <v>2024</v>
      </c>
      <c r="AG332" s="19">
        <v>45456</v>
      </c>
    </row>
    <row r="333" spans="1:33" x14ac:dyDescent="0.25">
      <c r="A333" s="25">
        <v>10332</v>
      </c>
      <c r="B333" t="s">
        <v>351</v>
      </c>
      <c r="C333" t="s">
        <v>351</v>
      </c>
      <c r="D333" s="27" t="s">
        <v>485</v>
      </c>
      <c r="E333" s="27">
        <v>1</v>
      </c>
      <c r="F333" s="56"/>
      <c r="G333" s="56"/>
      <c r="H333" t="s">
        <v>19</v>
      </c>
      <c r="I333" t="s">
        <v>8</v>
      </c>
      <c r="J333">
        <v>-0.50549999999999995</v>
      </c>
      <c r="K333">
        <v>2.69</v>
      </c>
      <c r="L333">
        <v>0</v>
      </c>
      <c r="N333" t="s">
        <v>509</v>
      </c>
      <c r="O333">
        <v>21.396666666666665</v>
      </c>
      <c r="P333">
        <v>34.28</v>
      </c>
      <c r="Q333">
        <v>4.0348349308017797</v>
      </c>
      <c r="R333">
        <v>1.2316319118547236</v>
      </c>
      <c r="S333">
        <v>112.55800000000001</v>
      </c>
      <c r="T333">
        <v>180.52799999999999</v>
      </c>
      <c r="U333">
        <v>283.322</v>
      </c>
      <c r="V333">
        <v>318.19299999999998</v>
      </c>
      <c r="W333">
        <v>252.18600000000001</v>
      </c>
      <c r="X333">
        <v>256.13600000000002</v>
      </c>
      <c r="Y333">
        <v>313.32600000000002</v>
      </c>
      <c r="Z333">
        <v>344.08199999999999</v>
      </c>
      <c r="AC333">
        <f t="shared" si="12"/>
        <v>6</v>
      </c>
      <c r="AD333">
        <f t="shared" si="13"/>
        <v>17</v>
      </c>
      <c r="AE333">
        <f t="shared" si="14"/>
        <v>2024</v>
      </c>
      <c r="AG333" s="19">
        <v>45460</v>
      </c>
    </row>
    <row r="334" spans="1:33" x14ac:dyDescent="0.25">
      <c r="A334" s="25">
        <v>10333</v>
      </c>
      <c r="B334" t="s">
        <v>352</v>
      </c>
      <c r="C334" t="s">
        <v>352</v>
      </c>
      <c r="D334" s="27" t="s">
        <v>486</v>
      </c>
      <c r="E334" s="27">
        <v>2</v>
      </c>
      <c r="F334" s="56"/>
      <c r="G334" s="56"/>
      <c r="H334" t="s">
        <v>19</v>
      </c>
      <c r="I334" t="s">
        <v>8</v>
      </c>
      <c r="J334">
        <v>-0.50839999999999996</v>
      </c>
      <c r="K334">
        <v>2.5840000000000001</v>
      </c>
      <c r="L334">
        <v>3.0000000000000001E-3</v>
      </c>
      <c r="N334" t="s">
        <v>509</v>
      </c>
      <c r="O334">
        <v>22.366666666666664</v>
      </c>
      <c r="P334">
        <v>39.643333333333338</v>
      </c>
      <c r="Q334">
        <v>3.8877329642927911</v>
      </c>
      <c r="R334">
        <v>1.7955984492960622</v>
      </c>
      <c r="S334">
        <v>110.89</v>
      </c>
      <c r="T334">
        <v>184.827</v>
      </c>
      <c r="U334">
        <v>287.98</v>
      </c>
      <c r="V334">
        <v>324.04399999999998</v>
      </c>
      <c r="W334">
        <v>260.47500000000002</v>
      </c>
      <c r="X334">
        <v>269.303</v>
      </c>
      <c r="Y334">
        <v>320.33</v>
      </c>
      <c r="Z334">
        <v>374.83100000000002</v>
      </c>
      <c r="AC334">
        <f t="shared" si="12"/>
        <v>6</v>
      </c>
      <c r="AD334">
        <f t="shared" si="13"/>
        <v>17</v>
      </c>
      <c r="AE334">
        <f t="shared" si="14"/>
        <v>2024</v>
      </c>
      <c r="AG334" s="19">
        <v>45460</v>
      </c>
    </row>
    <row r="335" spans="1:33" x14ac:dyDescent="0.25">
      <c r="A335" s="25">
        <v>10334</v>
      </c>
      <c r="B335" t="s">
        <v>353</v>
      </c>
      <c r="C335" t="s">
        <v>353</v>
      </c>
      <c r="D335" s="27" t="s">
        <v>487</v>
      </c>
      <c r="E335" s="27">
        <v>3</v>
      </c>
      <c r="F335" s="56"/>
      <c r="G335" s="56"/>
      <c r="H335" t="s">
        <v>19</v>
      </c>
      <c r="I335" t="s">
        <v>8</v>
      </c>
      <c r="J335">
        <v>-0.49759999999999999</v>
      </c>
      <c r="K335">
        <v>2.7090000000000001</v>
      </c>
      <c r="L335">
        <v>3.0000000000000001E-3</v>
      </c>
      <c r="N335" t="s">
        <v>509</v>
      </c>
      <c r="O335">
        <v>24.166666666666668</v>
      </c>
      <c r="P335">
        <v>42.086666666666666</v>
      </c>
      <c r="Q335">
        <v>4.0156025182193327</v>
      </c>
      <c r="R335">
        <v>1.8400791675168335</v>
      </c>
      <c r="S335">
        <v>123.29300000000001</v>
      </c>
      <c r="T335">
        <v>196.36099999999999</v>
      </c>
      <c r="U335">
        <v>290.76400000000001</v>
      </c>
      <c r="V335">
        <v>322.27499999999998</v>
      </c>
      <c r="W335">
        <v>260.733</v>
      </c>
      <c r="X335">
        <v>268.637</v>
      </c>
      <c r="Y335">
        <v>301.08100000000002</v>
      </c>
      <c r="Z335">
        <v>325.85399999999998</v>
      </c>
      <c r="AC335">
        <f t="shared" si="12"/>
        <v>6</v>
      </c>
      <c r="AD335">
        <f t="shared" si="13"/>
        <v>17</v>
      </c>
      <c r="AE335">
        <f t="shared" si="14"/>
        <v>2024</v>
      </c>
      <c r="AG335" s="19">
        <v>45460</v>
      </c>
    </row>
    <row r="336" spans="1:33" x14ac:dyDescent="0.25">
      <c r="A336" s="25">
        <v>10335</v>
      </c>
      <c r="B336" t="s">
        <v>354</v>
      </c>
      <c r="C336" t="s">
        <v>354</v>
      </c>
      <c r="D336" s="27" t="s">
        <v>488</v>
      </c>
      <c r="E336" s="27">
        <v>4</v>
      </c>
      <c r="F336" s="56"/>
      <c r="G336" s="56"/>
      <c r="H336" t="s">
        <v>19</v>
      </c>
      <c r="I336" t="s">
        <v>8</v>
      </c>
      <c r="J336">
        <v>-0.50060000000000004</v>
      </c>
      <c r="K336">
        <v>2.4249999999999998</v>
      </c>
      <c r="L336">
        <v>3.0000000000000001E-3</v>
      </c>
      <c r="N336" t="s">
        <v>509</v>
      </c>
      <c r="O336">
        <v>54.156666666666666</v>
      </c>
      <c r="P336">
        <v>88.8</v>
      </c>
      <c r="Q336">
        <v>4.013003543546029</v>
      </c>
      <c r="R336">
        <v>1.7688692103652319</v>
      </c>
      <c r="S336">
        <v>168.18600000000001</v>
      </c>
      <c r="T336">
        <v>248.94800000000001</v>
      </c>
      <c r="U336">
        <v>360.66199999999998</v>
      </c>
      <c r="V336">
        <v>400.16300000000001</v>
      </c>
      <c r="W336">
        <v>335.245</v>
      </c>
      <c r="X336">
        <v>339.67500000000001</v>
      </c>
      <c r="Y336">
        <v>384.82799999999997</v>
      </c>
      <c r="Z336">
        <v>427.875</v>
      </c>
      <c r="AC336">
        <f t="shared" si="12"/>
        <v>6</v>
      </c>
      <c r="AD336">
        <f t="shared" si="13"/>
        <v>17</v>
      </c>
      <c r="AE336">
        <f t="shared" si="14"/>
        <v>2024</v>
      </c>
      <c r="AG336" s="19">
        <v>45460</v>
      </c>
    </row>
    <row r="337" spans="1:33" x14ac:dyDescent="0.25">
      <c r="A337" s="25">
        <v>10336</v>
      </c>
      <c r="B337" t="s">
        <v>355</v>
      </c>
      <c r="C337" t="s">
        <v>355</v>
      </c>
      <c r="D337" s="27" t="s">
        <v>489</v>
      </c>
      <c r="E337" s="27">
        <v>5</v>
      </c>
      <c r="F337"/>
      <c r="G337"/>
      <c r="H337" t="s">
        <v>19</v>
      </c>
      <c r="I337" t="s">
        <v>8</v>
      </c>
      <c r="J337">
        <v>-0.49890000000000001</v>
      </c>
      <c r="K337">
        <v>2.64</v>
      </c>
      <c r="L337">
        <v>1E-3</v>
      </c>
      <c r="N337">
        <v>0.13574505906711387</v>
      </c>
      <c r="O337">
        <v>18.95</v>
      </c>
      <c r="P337">
        <v>37.286666666666669</v>
      </c>
      <c r="Q337">
        <v>4.0208004675659392</v>
      </c>
      <c r="R337">
        <v>1.7758065700877372</v>
      </c>
      <c r="S337">
        <v>138.16200000000001</v>
      </c>
      <c r="T337">
        <v>227.06399999999999</v>
      </c>
      <c r="U337">
        <v>348.70499999999998</v>
      </c>
      <c r="V337">
        <v>388.99700000000001</v>
      </c>
      <c r="W337">
        <v>317.06599999999997</v>
      </c>
      <c r="X337">
        <v>301.03500000000003</v>
      </c>
      <c r="Y337">
        <v>362.44900000000001</v>
      </c>
      <c r="Z337">
        <v>369.137</v>
      </c>
      <c r="AC337">
        <f t="shared" si="12"/>
        <v>6</v>
      </c>
      <c r="AD337">
        <f t="shared" si="13"/>
        <v>17</v>
      </c>
      <c r="AE337">
        <f t="shared" si="14"/>
        <v>2024</v>
      </c>
      <c r="AG337" s="19">
        <v>45460</v>
      </c>
    </row>
    <row r="338" spans="1:33" x14ac:dyDescent="0.25">
      <c r="A338" s="25">
        <v>10337</v>
      </c>
      <c r="B338" t="s">
        <v>356</v>
      </c>
      <c r="C338" t="s">
        <v>356</v>
      </c>
      <c r="D338" s="27" t="s">
        <v>490</v>
      </c>
      <c r="E338" s="27">
        <v>6</v>
      </c>
      <c r="F338"/>
      <c r="G338"/>
      <c r="H338" t="s">
        <v>19</v>
      </c>
      <c r="I338" t="s">
        <v>8</v>
      </c>
      <c r="J338">
        <v>-0.50249999999999995</v>
      </c>
      <c r="K338">
        <v>2.3239999999999998</v>
      </c>
      <c r="L338">
        <v>3.0000000000000001E-3</v>
      </c>
      <c r="N338">
        <v>0.14968364274386892</v>
      </c>
      <c r="O338">
        <v>27.733333333333334</v>
      </c>
      <c r="P338">
        <v>50.906666666666666</v>
      </c>
      <c r="Q338">
        <v>3.8570650631478074</v>
      </c>
      <c r="R338">
        <v>1.6295098959396044</v>
      </c>
      <c r="S338">
        <v>139.14400000000001</v>
      </c>
      <c r="T338">
        <v>233.828</v>
      </c>
      <c r="U338">
        <v>362.209</v>
      </c>
      <c r="V338">
        <v>399.42399999999998</v>
      </c>
      <c r="W338">
        <v>315.661</v>
      </c>
      <c r="X338">
        <v>304.00400000000002</v>
      </c>
      <c r="Y338">
        <v>358.58300000000003</v>
      </c>
      <c r="Z338">
        <v>351.25400000000002</v>
      </c>
      <c r="AC338">
        <f t="shared" si="12"/>
        <v>6</v>
      </c>
      <c r="AD338">
        <f t="shared" si="13"/>
        <v>17</v>
      </c>
      <c r="AE338">
        <f t="shared" si="14"/>
        <v>2024</v>
      </c>
      <c r="AG338" s="19">
        <v>45460</v>
      </c>
    </row>
    <row r="339" spans="1:33" x14ac:dyDescent="0.25">
      <c r="A339" s="25">
        <v>10338</v>
      </c>
      <c r="B339" t="s">
        <v>357</v>
      </c>
      <c r="C339" t="s">
        <v>357</v>
      </c>
      <c r="D339" s="27" t="s">
        <v>491</v>
      </c>
      <c r="E339" s="27">
        <v>7</v>
      </c>
      <c r="F339"/>
      <c r="G339"/>
      <c r="H339" t="s">
        <v>19</v>
      </c>
      <c r="I339" t="s">
        <v>8</v>
      </c>
      <c r="J339">
        <v>-0.50439999999999996</v>
      </c>
      <c r="K339">
        <v>2.6219999999999999</v>
      </c>
      <c r="L339">
        <v>1E-3</v>
      </c>
      <c r="N339">
        <v>0.15423945029774655</v>
      </c>
      <c r="O339">
        <v>52.906666666666666</v>
      </c>
      <c r="P339">
        <v>80.483333333333334</v>
      </c>
      <c r="Q339">
        <v>4.1107249912622477</v>
      </c>
      <c r="R339">
        <v>1.7747863701285453</v>
      </c>
      <c r="S339">
        <v>140.69200000000001</v>
      </c>
      <c r="T339">
        <v>223.869</v>
      </c>
      <c r="U339">
        <v>350.80599999999998</v>
      </c>
      <c r="V339">
        <v>382.93099999999998</v>
      </c>
      <c r="W339">
        <v>310.10300000000001</v>
      </c>
      <c r="X339">
        <v>299.54500000000002</v>
      </c>
      <c r="Y339">
        <v>363.40199999999999</v>
      </c>
      <c r="Z339">
        <v>377.55200000000002</v>
      </c>
      <c r="AC339">
        <f t="shared" si="12"/>
        <v>6</v>
      </c>
      <c r="AD339">
        <f t="shared" si="13"/>
        <v>17</v>
      </c>
      <c r="AE339">
        <f t="shared" si="14"/>
        <v>2024</v>
      </c>
      <c r="AG339" s="19">
        <v>45460</v>
      </c>
    </row>
    <row r="340" spans="1:33" x14ac:dyDescent="0.25">
      <c r="A340" s="25">
        <v>10339</v>
      </c>
      <c r="B340" t="s">
        <v>358</v>
      </c>
      <c r="C340" t="s">
        <v>358</v>
      </c>
      <c r="D340" s="27" t="s">
        <v>492</v>
      </c>
      <c r="E340" s="27">
        <v>8</v>
      </c>
      <c r="F340"/>
      <c r="G340"/>
      <c r="H340" t="s">
        <v>19</v>
      </c>
      <c r="I340" t="s">
        <v>8</v>
      </c>
      <c r="J340">
        <v>-0.50609999999999999</v>
      </c>
      <c r="K340">
        <v>2.7610000000000001</v>
      </c>
      <c r="L340">
        <v>1E-3</v>
      </c>
      <c r="N340">
        <v>0.14422491778307095</v>
      </c>
      <c r="O340">
        <v>39.9</v>
      </c>
      <c r="P340">
        <v>56.639999999999993</v>
      </c>
      <c r="Q340">
        <v>4.0467902142989765</v>
      </c>
      <c r="R340">
        <v>1.7974348092226076</v>
      </c>
      <c r="S340">
        <v>160.17699999999999</v>
      </c>
      <c r="T340">
        <v>252.11500000000001</v>
      </c>
      <c r="U340">
        <v>385.44799999999998</v>
      </c>
      <c r="V340">
        <v>426.904</v>
      </c>
      <c r="W340">
        <v>353.09300000000002</v>
      </c>
      <c r="X340">
        <v>340.12200000000001</v>
      </c>
      <c r="Y340">
        <v>384.98700000000002</v>
      </c>
      <c r="Z340">
        <v>358.10899999999998</v>
      </c>
      <c r="AC340">
        <f t="shared" si="12"/>
        <v>6</v>
      </c>
      <c r="AD340">
        <f t="shared" si="13"/>
        <v>17</v>
      </c>
      <c r="AE340">
        <f t="shared" si="14"/>
        <v>2024</v>
      </c>
      <c r="AG340" s="19">
        <v>45460</v>
      </c>
    </row>
    <row r="341" spans="1:33" x14ac:dyDescent="0.25">
      <c r="A341" s="25">
        <v>10340</v>
      </c>
      <c r="B341" t="s">
        <v>359</v>
      </c>
      <c r="C341" t="s">
        <v>359</v>
      </c>
      <c r="D341" s="27" t="s">
        <v>493</v>
      </c>
      <c r="E341" s="27">
        <v>9</v>
      </c>
      <c r="F341"/>
      <c r="G341"/>
      <c r="H341" t="s">
        <v>19</v>
      </c>
      <c r="I341" t="s">
        <v>8</v>
      </c>
      <c r="J341">
        <v>-0.5101</v>
      </c>
      <c r="K341">
        <v>2.7090000000000001</v>
      </c>
      <c r="L341">
        <v>2E-3</v>
      </c>
      <c r="N341">
        <v>0.20272207257542854</v>
      </c>
      <c r="O341">
        <v>37.856666666666669</v>
      </c>
      <c r="P341">
        <v>40.183333333333337</v>
      </c>
      <c r="Q341">
        <v>4.1881744365266975</v>
      </c>
      <c r="R341">
        <v>1.8376306876147726</v>
      </c>
      <c r="S341">
        <v>116.95</v>
      </c>
      <c r="T341">
        <v>221.41800000000001</v>
      </c>
      <c r="U341">
        <v>362.25599999999997</v>
      </c>
      <c r="V341">
        <v>400.464</v>
      </c>
      <c r="W341">
        <v>317.30900000000003</v>
      </c>
      <c r="X341">
        <v>286.166</v>
      </c>
      <c r="Y341">
        <v>377.68900000000002</v>
      </c>
      <c r="Z341">
        <v>350.67599999999999</v>
      </c>
      <c r="AC341">
        <f t="shared" si="12"/>
        <v>6</v>
      </c>
      <c r="AD341">
        <f t="shared" si="13"/>
        <v>17</v>
      </c>
      <c r="AE341">
        <f t="shared" si="14"/>
        <v>2024</v>
      </c>
      <c r="AG341" s="19">
        <v>45460</v>
      </c>
    </row>
    <row r="342" spans="1:33" x14ac:dyDescent="0.25">
      <c r="A342" s="25">
        <v>10341</v>
      </c>
      <c r="B342" t="s">
        <v>360</v>
      </c>
      <c r="C342" t="s">
        <v>360</v>
      </c>
      <c r="D342" s="27" t="s">
        <v>494</v>
      </c>
      <c r="E342" s="27">
        <v>10</v>
      </c>
      <c r="F342"/>
      <c r="G342"/>
      <c r="H342" t="s">
        <v>19</v>
      </c>
      <c r="I342" t="s">
        <v>8</v>
      </c>
      <c r="J342">
        <v>-0.50129999999999997</v>
      </c>
      <c r="K342">
        <v>2.77</v>
      </c>
      <c r="L342">
        <v>2E-3</v>
      </c>
      <c r="N342">
        <v>0.22173503371726239</v>
      </c>
      <c r="O342">
        <v>28.836666666666662</v>
      </c>
      <c r="P342">
        <v>40.206666666666663</v>
      </c>
      <c r="Q342">
        <v>4.0285973915858513</v>
      </c>
      <c r="R342">
        <v>1.8559942868802288</v>
      </c>
      <c r="S342">
        <v>174.18899999999999</v>
      </c>
      <c r="T342">
        <v>271.92700000000002</v>
      </c>
      <c r="U342">
        <v>411.334</v>
      </c>
      <c r="V342">
        <v>462.46600000000001</v>
      </c>
      <c r="W342">
        <v>395.29</v>
      </c>
      <c r="X342">
        <v>371.87400000000002</v>
      </c>
      <c r="Y342">
        <v>454.53899999999999</v>
      </c>
      <c r="Z342">
        <v>438.97800000000001</v>
      </c>
      <c r="AC342">
        <f t="shared" si="12"/>
        <v>6</v>
      </c>
      <c r="AD342">
        <f t="shared" si="13"/>
        <v>17</v>
      </c>
      <c r="AE342">
        <f t="shared" si="14"/>
        <v>2024</v>
      </c>
      <c r="AG342" s="19">
        <v>45460</v>
      </c>
    </row>
    <row r="343" spans="1:33" x14ac:dyDescent="0.25">
      <c r="A343" s="25">
        <v>10342</v>
      </c>
      <c r="B343" t="s">
        <v>361</v>
      </c>
      <c r="C343" t="s">
        <v>361</v>
      </c>
      <c r="D343" s="27" t="s">
        <v>495</v>
      </c>
      <c r="E343" s="27">
        <v>13</v>
      </c>
      <c r="F343"/>
      <c r="G343"/>
      <c r="H343" t="s">
        <v>19</v>
      </c>
      <c r="I343" t="s">
        <v>8</v>
      </c>
      <c r="J343">
        <v>-0.50209999999999999</v>
      </c>
      <c r="K343">
        <v>2.5950000000000002</v>
      </c>
      <c r="L343">
        <v>1E-3</v>
      </c>
      <c r="N343">
        <v>0.19989054292111763</v>
      </c>
      <c r="O343">
        <v>29.03</v>
      </c>
      <c r="P343">
        <v>50.213333333333338</v>
      </c>
      <c r="Q343">
        <v>4.0701809863587091</v>
      </c>
      <c r="R343">
        <v>1.8025358090185679</v>
      </c>
      <c r="S343">
        <v>162.97399999999999</v>
      </c>
      <c r="T343">
        <v>238.49799999999999</v>
      </c>
      <c r="U343">
        <v>346.79199999999997</v>
      </c>
      <c r="V343">
        <v>391.70800000000003</v>
      </c>
      <c r="W343">
        <v>322.06700000000001</v>
      </c>
      <c r="X343">
        <v>325.572</v>
      </c>
      <c r="Y343">
        <v>357.91800000000001</v>
      </c>
      <c r="Z343">
        <v>380.07600000000002</v>
      </c>
      <c r="AC343">
        <f t="shared" si="12"/>
        <v>6</v>
      </c>
      <c r="AD343">
        <f t="shared" si="13"/>
        <v>17</v>
      </c>
      <c r="AE343">
        <f t="shared" si="14"/>
        <v>2024</v>
      </c>
      <c r="AG343" s="19">
        <v>45460</v>
      </c>
    </row>
    <row r="344" spans="1:33" x14ac:dyDescent="0.25">
      <c r="A344" s="25">
        <v>10343</v>
      </c>
      <c r="B344" t="s">
        <v>362</v>
      </c>
      <c r="C344" t="s">
        <v>362</v>
      </c>
      <c r="D344" s="27" t="s">
        <v>496</v>
      </c>
      <c r="E344" s="27">
        <v>14</v>
      </c>
      <c r="F344" s="21">
        <v>15</v>
      </c>
      <c r="G344" s="21"/>
      <c r="H344" t="s">
        <v>19</v>
      </c>
      <c r="I344" t="s">
        <v>8</v>
      </c>
      <c r="J344">
        <v>-0.68030000000000002</v>
      </c>
      <c r="K344">
        <v>2.6680000000000001</v>
      </c>
      <c r="L344">
        <v>1E-3</v>
      </c>
      <c r="N344">
        <v>0.16155635043878247</v>
      </c>
      <c r="O344">
        <v>22.33</v>
      </c>
      <c r="P344">
        <v>36.4</v>
      </c>
      <c r="Q344">
        <v>4.0426318548216909</v>
      </c>
      <c r="R344">
        <v>1.784784329728627</v>
      </c>
      <c r="S344">
        <v>178.905</v>
      </c>
      <c r="T344">
        <v>255.88300000000001</v>
      </c>
      <c r="U344">
        <v>382.01100000000002</v>
      </c>
      <c r="V344">
        <v>433.83699999999999</v>
      </c>
      <c r="W344">
        <v>372.70100000000002</v>
      </c>
      <c r="X344">
        <v>364.00700000000001</v>
      </c>
      <c r="Y344">
        <v>436.33800000000002</v>
      </c>
      <c r="Z344">
        <v>460.01</v>
      </c>
      <c r="AC344">
        <f t="shared" si="12"/>
        <v>6</v>
      </c>
      <c r="AD344">
        <f t="shared" si="13"/>
        <v>17</v>
      </c>
      <c r="AE344">
        <f t="shared" si="14"/>
        <v>2024</v>
      </c>
      <c r="AG344" s="19">
        <v>45460</v>
      </c>
    </row>
    <row r="345" spans="1:33" x14ac:dyDescent="0.25">
      <c r="A345" s="25">
        <v>10344</v>
      </c>
      <c r="B345" s="72" t="s">
        <v>363</v>
      </c>
      <c r="C345" s="36" t="s">
        <v>363</v>
      </c>
      <c r="D345" s="37" t="s">
        <v>498</v>
      </c>
      <c r="E345" s="37">
        <v>5</v>
      </c>
      <c r="F345" s="36"/>
      <c r="G345" s="36"/>
      <c r="H345" s="36" t="s">
        <v>18</v>
      </c>
      <c r="I345" s="36" t="s">
        <v>8</v>
      </c>
      <c r="J345">
        <v>1.72E-2</v>
      </c>
      <c r="K345">
        <v>2.165</v>
      </c>
      <c r="L345">
        <v>-3.5999999999999997E-2</v>
      </c>
      <c r="N345" s="41">
        <v>0.15</v>
      </c>
      <c r="O345">
        <v>43.443333333333328</v>
      </c>
      <c r="P345">
        <v>51.446666666666665</v>
      </c>
      <c r="Q345" s="27">
        <v>2.4212442359032442</v>
      </c>
      <c r="R345" s="27">
        <v>1.5296298281287231</v>
      </c>
      <c r="S345" s="27">
        <v>322.27100000000002</v>
      </c>
      <c r="T345" s="27">
        <v>355.54300000000001</v>
      </c>
      <c r="U345" s="27">
        <v>453.83699999999999</v>
      </c>
      <c r="V345" s="27">
        <v>487.54500000000002</v>
      </c>
      <c r="W345" s="27">
        <v>449.93200000000002</v>
      </c>
      <c r="X345" s="27">
        <v>371.03699999999998</v>
      </c>
      <c r="Y345" s="27">
        <v>452.99900000000002</v>
      </c>
      <c r="Z345" s="27">
        <v>613.93600000000004</v>
      </c>
      <c r="AC345">
        <f t="shared" si="12"/>
        <v>6</v>
      </c>
      <c r="AD345">
        <f t="shared" si="13"/>
        <v>19</v>
      </c>
      <c r="AE345">
        <f t="shared" si="14"/>
        <v>2024</v>
      </c>
      <c r="AG345" s="19">
        <v>45462</v>
      </c>
    </row>
    <row r="346" spans="1:33" x14ac:dyDescent="0.25">
      <c r="A346" s="25">
        <v>10345</v>
      </c>
      <c r="B346" s="72" t="s">
        <v>364</v>
      </c>
      <c r="C346" s="117" t="s">
        <v>364</v>
      </c>
      <c r="D346" s="118" t="s">
        <v>477</v>
      </c>
      <c r="E346" s="118">
        <v>6</v>
      </c>
      <c r="F346" s="117"/>
      <c r="G346" s="117"/>
      <c r="H346" s="117" t="s">
        <v>18</v>
      </c>
      <c r="I346" s="117" t="s">
        <v>8</v>
      </c>
      <c r="J346" s="67">
        <v>1.3299999999999999E-2</v>
      </c>
      <c r="K346" s="67">
        <v>1.6659999999999999</v>
      </c>
      <c r="L346" s="67">
        <v>-0.04</v>
      </c>
      <c r="N346">
        <v>0.15971973526009681</v>
      </c>
      <c r="O346">
        <v>1.2</v>
      </c>
      <c r="P346">
        <v>2.4</v>
      </c>
      <c r="Q346" s="27">
        <v>3.023609200981582</v>
      </c>
      <c r="R346" s="27">
        <v>1.5035992429579399</v>
      </c>
      <c r="S346" s="27">
        <v>286.17399999999998</v>
      </c>
      <c r="T346" s="27">
        <v>308.53800000000001</v>
      </c>
      <c r="U346" s="27">
        <v>371.97399999999999</v>
      </c>
      <c r="V346" s="27">
        <v>403.58100000000002</v>
      </c>
      <c r="W346" s="27">
        <v>375.58300000000003</v>
      </c>
      <c r="X346" s="27">
        <v>327.52</v>
      </c>
      <c r="Y346" s="27">
        <v>369.08</v>
      </c>
      <c r="Z346" s="27">
        <v>592.63099999999997</v>
      </c>
      <c r="AC346">
        <f t="shared" si="12"/>
        <v>6</v>
      </c>
      <c r="AD346">
        <f t="shared" si="13"/>
        <v>19</v>
      </c>
      <c r="AE346">
        <f t="shared" si="14"/>
        <v>2024</v>
      </c>
      <c r="AG346" s="19">
        <v>45462</v>
      </c>
    </row>
    <row r="347" spans="1:33" x14ac:dyDescent="0.25">
      <c r="A347" s="25">
        <v>10346</v>
      </c>
      <c r="B347" t="s">
        <v>365</v>
      </c>
      <c r="C347" t="s">
        <v>365</v>
      </c>
      <c r="D347" s="27" t="s">
        <v>478</v>
      </c>
      <c r="E347" s="27">
        <v>8</v>
      </c>
      <c r="F347"/>
      <c r="G347"/>
      <c r="H347" t="s">
        <v>18</v>
      </c>
      <c r="I347" t="s">
        <v>8</v>
      </c>
      <c r="J347">
        <v>3.4700000000000002E-2</v>
      </c>
      <c r="K347">
        <v>3.7410000000000001</v>
      </c>
      <c r="L347">
        <v>0.18</v>
      </c>
      <c r="N347" s="41">
        <v>0.15</v>
      </c>
      <c r="O347">
        <v>8.6766666666666676</v>
      </c>
      <c r="P347">
        <v>8.7033333333333331</v>
      </c>
      <c r="Q347" s="27">
        <v>273.70289620580854</v>
      </c>
      <c r="R347" s="27">
        <v>1.9477334907168073</v>
      </c>
      <c r="S347" s="27">
        <v>340.17399999999998</v>
      </c>
      <c r="T347" s="27">
        <v>355.04300000000001</v>
      </c>
      <c r="U347" s="27">
        <v>423.65199999999999</v>
      </c>
      <c r="V347" s="27">
        <v>453.06400000000002</v>
      </c>
      <c r="W347" s="27">
        <v>434.43400000000003</v>
      </c>
      <c r="X347" s="27">
        <v>373.113</v>
      </c>
      <c r="Y347" s="27">
        <v>412.786</v>
      </c>
      <c r="Z347" s="27">
        <v>605.15899999999999</v>
      </c>
      <c r="AC347">
        <f t="shared" si="12"/>
        <v>6</v>
      </c>
      <c r="AD347">
        <f t="shared" si="13"/>
        <v>19</v>
      </c>
      <c r="AE347">
        <f t="shared" si="14"/>
        <v>2024</v>
      </c>
      <c r="AG347" s="19">
        <v>45462</v>
      </c>
    </row>
    <row r="348" spans="1:33" x14ac:dyDescent="0.25">
      <c r="A348" s="25">
        <v>10347</v>
      </c>
      <c r="B348" t="s">
        <v>366</v>
      </c>
      <c r="C348" t="s">
        <v>366</v>
      </c>
      <c r="D348" s="27" t="s">
        <v>479</v>
      </c>
      <c r="E348" s="27">
        <v>9</v>
      </c>
      <c r="F348"/>
      <c r="G348"/>
      <c r="H348" t="s">
        <v>18</v>
      </c>
      <c r="I348" t="s">
        <v>8</v>
      </c>
      <c r="J348">
        <v>1.3899999999999999E-2</v>
      </c>
      <c r="K348">
        <v>4.3650000000000002</v>
      </c>
      <c r="L348">
        <v>0.26900000000000002</v>
      </c>
      <c r="N348">
        <v>0.10903253941265602</v>
      </c>
      <c r="O348">
        <v>53.930000000000007</v>
      </c>
      <c r="P348">
        <v>45.326666666666661</v>
      </c>
      <c r="Q348" s="27">
        <v>3.9445163552031932</v>
      </c>
      <c r="R348" s="27">
        <v>2.43141808493671</v>
      </c>
      <c r="S348" s="27">
        <v>221.56700000000001</v>
      </c>
      <c r="T348" s="27">
        <v>246.489</v>
      </c>
      <c r="U348" s="27">
        <v>342.25099999999998</v>
      </c>
      <c r="V348" s="27">
        <v>364.71600000000001</v>
      </c>
      <c r="W348" s="27">
        <v>362.69600000000003</v>
      </c>
      <c r="X348" s="27">
        <v>296.84800000000001</v>
      </c>
      <c r="Y348" s="27">
        <v>420.71600000000001</v>
      </c>
      <c r="Z348" s="27">
        <v>673.75099999999998</v>
      </c>
      <c r="AC348">
        <f t="shared" si="12"/>
        <v>6</v>
      </c>
      <c r="AD348">
        <f t="shared" si="13"/>
        <v>19</v>
      </c>
      <c r="AE348">
        <f t="shared" si="14"/>
        <v>2024</v>
      </c>
      <c r="AG348" s="19">
        <v>45462</v>
      </c>
    </row>
    <row r="349" spans="1:33" x14ac:dyDescent="0.25">
      <c r="A349" s="25">
        <v>10348</v>
      </c>
      <c r="B349" t="s">
        <v>367</v>
      </c>
      <c r="C349" t="s">
        <v>367</v>
      </c>
      <c r="D349" s="27" t="s">
        <v>480</v>
      </c>
      <c r="E349" s="27">
        <v>10</v>
      </c>
      <c r="F349"/>
      <c r="G349"/>
      <c r="H349" t="s">
        <v>18</v>
      </c>
      <c r="I349" t="s">
        <v>8</v>
      </c>
      <c r="J349">
        <v>9.9000000000000008E-3</v>
      </c>
      <c r="K349">
        <v>3.8980000000000001</v>
      </c>
      <c r="L349">
        <v>0.16</v>
      </c>
      <c r="N349" s="41">
        <v>0.15</v>
      </c>
      <c r="O349">
        <v>24.013333333333335</v>
      </c>
      <c r="P349">
        <v>23.296666666666667</v>
      </c>
      <c r="Q349" s="27">
        <v>2.9460804142059707</v>
      </c>
      <c r="R349" s="27">
        <v>2.3858141140173532</v>
      </c>
      <c r="S349" s="27">
        <v>319.88900000000001</v>
      </c>
      <c r="T349" s="27">
        <v>337.9</v>
      </c>
      <c r="U349" s="27">
        <v>416.94499999999999</v>
      </c>
      <c r="V349" s="27">
        <v>439.49700000000001</v>
      </c>
      <c r="W349" s="27">
        <v>414.428</v>
      </c>
      <c r="X349" s="27">
        <v>342.34699999999998</v>
      </c>
      <c r="Y349" s="27">
        <v>426.29500000000002</v>
      </c>
      <c r="Z349" s="27">
        <v>507.589</v>
      </c>
      <c r="AC349">
        <f t="shared" si="12"/>
        <v>6</v>
      </c>
      <c r="AD349">
        <f t="shared" si="13"/>
        <v>19</v>
      </c>
      <c r="AE349">
        <f t="shared" si="14"/>
        <v>2024</v>
      </c>
      <c r="AG349" s="19">
        <v>45462</v>
      </c>
    </row>
    <row r="350" spans="1:33" x14ac:dyDescent="0.25">
      <c r="A350" s="25">
        <v>10349</v>
      </c>
      <c r="B350" t="s">
        <v>368</v>
      </c>
      <c r="C350" t="s">
        <v>368</v>
      </c>
      <c r="D350" s="27" t="s">
        <v>481</v>
      </c>
      <c r="E350" s="27">
        <v>11</v>
      </c>
      <c r="F350"/>
      <c r="G350"/>
      <c r="H350" t="s">
        <v>18</v>
      </c>
      <c r="I350" t="s">
        <v>8</v>
      </c>
      <c r="J350">
        <v>1.9300000000000001E-2</v>
      </c>
      <c r="K350">
        <v>4.9690000000000003</v>
      </c>
      <c r="L350">
        <v>0.19900000000000001</v>
      </c>
      <c r="N350">
        <v>0.17163431638319676</v>
      </c>
      <c r="O350">
        <v>56.913333333333334</v>
      </c>
      <c r="P350">
        <v>43.74</v>
      </c>
      <c r="Q350" s="27">
        <v>3.0077663619448263</v>
      </c>
      <c r="R350" s="27">
        <v>2.6487432029904578</v>
      </c>
      <c r="S350" s="27">
        <v>340.09699999999998</v>
      </c>
      <c r="T350" s="27">
        <v>359.08</v>
      </c>
      <c r="U350" s="27">
        <v>442.93299999999999</v>
      </c>
      <c r="V350" s="27">
        <v>454.95100000000002</v>
      </c>
      <c r="W350" s="27">
        <v>439.089</v>
      </c>
      <c r="X350" s="27">
        <v>366.67399999999998</v>
      </c>
      <c r="Y350" s="27">
        <v>462.30200000000002</v>
      </c>
      <c r="Z350" s="27">
        <v>573.62099999999998</v>
      </c>
      <c r="AC350">
        <f t="shared" si="12"/>
        <v>6</v>
      </c>
      <c r="AD350">
        <f t="shared" si="13"/>
        <v>19</v>
      </c>
      <c r="AE350">
        <f t="shared" si="14"/>
        <v>2024</v>
      </c>
      <c r="AG350" s="19">
        <v>45462</v>
      </c>
    </row>
    <row r="351" spans="1:33" x14ac:dyDescent="0.25">
      <c r="A351" s="25">
        <v>10350</v>
      </c>
      <c r="B351" t="s">
        <v>369</v>
      </c>
      <c r="C351" t="s">
        <v>369</v>
      </c>
      <c r="D351" s="27" t="s">
        <v>482</v>
      </c>
      <c r="E351" s="27">
        <v>12</v>
      </c>
      <c r="F351"/>
      <c r="G351"/>
      <c r="H351" t="s">
        <v>18</v>
      </c>
      <c r="I351" t="s">
        <v>8</v>
      </c>
      <c r="J351">
        <v>1.7000000000000001E-2</v>
      </c>
      <c r="K351">
        <v>4.9409999999999998</v>
      </c>
      <c r="L351">
        <v>0.17</v>
      </c>
      <c r="N351" s="41">
        <v>0.15</v>
      </c>
      <c r="O351">
        <v>37.576666666666668</v>
      </c>
      <c r="P351">
        <v>33.163333333333334</v>
      </c>
      <c r="Q351" s="27">
        <v>3.2802969015451828</v>
      </c>
      <c r="R351" s="27">
        <v>2.8910899688052698</v>
      </c>
      <c r="S351" s="27">
        <v>323.005</v>
      </c>
      <c r="T351" s="27">
        <v>328.56900000000002</v>
      </c>
      <c r="U351" s="27">
        <v>407.60199999999998</v>
      </c>
      <c r="V351" s="27">
        <v>419.44900000000001</v>
      </c>
      <c r="W351" s="27">
        <v>400.233</v>
      </c>
      <c r="X351" s="27">
        <v>341.28699999999998</v>
      </c>
      <c r="Y351" s="27">
        <v>410.142</v>
      </c>
      <c r="Z351" s="27">
        <v>550.86599999999999</v>
      </c>
      <c r="AC351">
        <f t="shared" si="12"/>
        <v>6</v>
      </c>
      <c r="AD351">
        <f t="shared" si="13"/>
        <v>19</v>
      </c>
      <c r="AE351">
        <f t="shared" si="14"/>
        <v>2024</v>
      </c>
      <c r="AG351" s="19">
        <v>45462</v>
      </c>
    </row>
    <row r="352" spans="1:33" x14ac:dyDescent="0.25">
      <c r="A352" s="25">
        <v>10351</v>
      </c>
      <c r="B352" t="s">
        <v>370</v>
      </c>
      <c r="C352" t="s">
        <v>370</v>
      </c>
      <c r="D352" s="27" t="s">
        <v>483</v>
      </c>
      <c r="E352" s="27">
        <v>14</v>
      </c>
      <c r="F352"/>
      <c r="G352"/>
      <c r="H352" t="s">
        <v>18</v>
      </c>
      <c r="I352" t="s">
        <v>8</v>
      </c>
      <c r="J352">
        <v>6.4000000000000003E-3</v>
      </c>
      <c r="K352">
        <v>3.512</v>
      </c>
      <c r="L352">
        <v>0.16300000000000001</v>
      </c>
      <c r="N352" s="41">
        <v>0.15</v>
      </c>
      <c r="O352">
        <v>7.6566666666666663</v>
      </c>
      <c r="P352">
        <v>9.3433333333333319</v>
      </c>
      <c r="Q352" s="27">
        <v>2.593661516058571</v>
      </c>
      <c r="R352" s="27">
        <v>2.0619452054971434</v>
      </c>
      <c r="S352" s="27">
        <v>477.18599999999998</v>
      </c>
      <c r="T352" s="27">
        <v>598.553</v>
      </c>
      <c r="U352" s="27">
        <v>675.47500000000002</v>
      </c>
      <c r="V352" s="27">
        <v>704.99599999999998</v>
      </c>
      <c r="W352" s="27">
        <v>683.63900000000001</v>
      </c>
      <c r="X352" s="27">
        <v>670.85799999999995</v>
      </c>
      <c r="Y352" s="27">
        <v>682.29</v>
      </c>
      <c r="Z352" s="27">
        <v>905.94</v>
      </c>
      <c r="AC352">
        <f t="shared" si="12"/>
        <v>6</v>
      </c>
      <c r="AD352">
        <f t="shared" si="13"/>
        <v>19</v>
      </c>
      <c r="AE352">
        <f t="shared" si="14"/>
        <v>2024</v>
      </c>
      <c r="AG352" s="19">
        <v>45462</v>
      </c>
    </row>
    <row r="353" spans="1:33" x14ac:dyDescent="0.25">
      <c r="A353" s="25">
        <v>10352</v>
      </c>
      <c r="B353" t="s">
        <v>371</v>
      </c>
      <c r="C353" t="s">
        <v>371</v>
      </c>
      <c r="D353" s="27" t="s">
        <v>484</v>
      </c>
      <c r="E353" s="27">
        <v>15</v>
      </c>
      <c r="F353"/>
      <c r="G353"/>
      <c r="H353" t="s">
        <v>18</v>
      </c>
      <c r="I353" t="s">
        <v>8</v>
      </c>
      <c r="J353">
        <v>1.6199999999999999E-2</v>
      </c>
      <c r="K353">
        <v>3.94</v>
      </c>
      <c r="L353">
        <v>0.17399999999999999</v>
      </c>
      <c r="N353">
        <v>6.9118739914141705E-2</v>
      </c>
      <c r="O353">
        <v>24.076666666666668</v>
      </c>
      <c r="P353">
        <v>17.256666666666664</v>
      </c>
      <c r="Q353" s="27">
        <v>2.7220896367607796</v>
      </c>
      <c r="R353" s="27">
        <v>1.4878652003658219</v>
      </c>
      <c r="S353" s="27">
        <v>338.35199999999998</v>
      </c>
      <c r="T353" s="27">
        <v>330.27100000000002</v>
      </c>
      <c r="U353" s="27">
        <v>409.71300000000002</v>
      </c>
      <c r="V353" s="27">
        <v>427.154</v>
      </c>
      <c r="W353" s="27">
        <v>400.78699999999998</v>
      </c>
      <c r="X353" s="27">
        <v>320.90199999999999</v>
      </c>
      <c r="Y353" s="27">
        <v>410.96</v>
      </c>
      <c r="Z353" s="27">
        <v>566.68299999999999</v>
      </c>
      <c r="AC353">
        <f t="shared" si="12"/>
        <v>6</v>
      </c>
      <c r="AD353">
        <f t="shared" si="13"/>
        <v>19</v>
      </c>
      <c r="AE353">
        <f t="shared" si="14"/>
        <v>2024</v>
      </c>
      <c r="AG353" s="19">
        <v>45462</v>
      </c>
    </row>
    <row r="354" spans="1:33" x14ac:dyDescent="0.25">
      <c r="A354" s="25">
        <v>10353</v>
      </c>
      <c r="B354" t="s">
        <v>372</v>
      </c>
      <c r="C354" t="s">
        <v>372</v>
      </c>
      <c r="D354" s="27" t="s">
        <v>456</v>
      </c>
      <c r="E354" s="27">
        <v>1</v>
      </c>
      <c r="F354" s="56"/>
      <c r="G354" s="56"/>
      <c r="H354" t="s">
        <v>17</v>
      </c>
      <c r="I354" t="s">
        <v>8</v>
      </c>
      <c r="J354">
        <v>2.0999999999999999E-3</v>
      </c>
      <c r="K354">
        <v>1.645</v>
      </c>
      <c r="L354">
        <v>-4.0000000000000001E-3</v>
      </c>
      <c r="N354">
        <v>1.0502766978045142</v>
      </c>
      <c r="O354">
        <v>14.796666666666667</v>
      </c>
      <c r="P354">
        <v>25.053333333333331</v>
      </c>
      <c r="Q354">
        <v>2.7166349765021502</v>
      </c>
      <c r="R354">
        <v>1.233876351764946</v>
      </c>
      <c r="S354">
        <v>363.755</v>
      </c>
      <c r="T354">
        <v>588.27499999999998</v>
      </c>
      <c r="U354">
        <v>659.43</v>
      </c>
      <c r="V354">
        <v>710.71100000000001</v>
      </c>
      <c r="W354">
        <v>636.56799999999998</v>
      </c>
      <c r="X354">
        <v>651.62099999999998</v>
      </c>
      <c r="Y354">
        <v>610.67499999999995</v>
      </c>
      <c r="Z354">
        <v>701.59299999999996</v>
      </c>
      <c r="AC354">
        <f t="shared" si="12"/>
        <v>6</v>
      </c>
      <c r="AD354">
        <f t="shared" si="13"/>
        <v>24</v>
      </c>
      <c r="AE354">
        <f t="shared" si="14"/>
        <v>2024</v>
      </c>
      <c r="AG354" s="19">
        <v>45467</v>
      </c>
    </row>
    <row r="355" spans="1:33" x14ac:dyDescent="0.25">
      <c r="A355" s="25">
        <v>10354</v>
      </c>
      <c r="B355" t="s">
        <v>373</v>
      </c>
      <c r="C355" t="s">
        <v>373</v>
      </c>
      <c r="D355" s="27" t="s">
        <v>457</v>
      </c>
      <c r="E355" s="27">
        <v>2</v>
      </c>
      <c r="F355" s="56"/>
      <c r="G355" s="56"/>
      <c r="H355" t="s">
        <v>17</v>
      </c>
      <c r="I355" t="s">
        <v>8</v>
      </c>
      <c r="J355">
        <v>-2E-3</v>
      </c>
      <c r="K355">
        <v>1.724</v>
      </c>
      <c r="L355">
        <v>-5.0000000000000001E-3</v>
      </c>
      <c r="N355">
        <v>0.3084440650235159</v>
      </c>
      <c r="O355">
        <v>19.43</v>
      </c>
      <c r="P355">
        <v>29.52</v>
      </c>
      <c r="Q355">
        <v>2.885048535332229</v>
      </c>
      <c r="R355">
        <v>1.3285509079779638</v>
      </c>
      <c r="S355">
        <v>346.37099999999998</v>
      </c>
      <c r="T355">
        <v>590.43100000000004</v>
      </c>
      <c r="U355">
        <v>651.89499999999998</v>
      </c>
      <c r="V355">
        <v>712.74</v>
      </c>
      <c r="W355">
        <v>612.32500000000005</v>
      </c>
      <c r="X355">
        <v>647.29600000000005</v>
      </c>
      <c r="Y355">
        <v>600.03599999999994</v>
      </c>
      <c r="Z355">
        <v>839.17700000000002</v>
      </c>
      <c r="AC355">
        <f t="shared" si="12"/>
        <v>6</v>
      </c>
      <c r="AD355">
        <f t="shared" si="13"/>
        <v>24</v>
      </c>
      <c r="AE355">
        <f t="shared" si="14"/>
        <v>2024</v>
      </c>
      <c r="AG355" s="19">
        <v>45467</v>
      </c>
    </row>
    <row r="356" spans="1:33" x14ac:dyDescent="0.25">
      <c r="A356" s="25">
        <v>10355</v>
      </c>
      <c r="B356" t="s">
        <v>374</v>
      </c>
      <c r="C356" t="s">
        <v>374</v>
      </c>
      <c r="D356" s="27" t="s">
        <v>458</v>
      </c>
      <c r="E356" s="27">
        <v>3</v>
      </c>
      <c r="F356" s="56"/>
      <c r="G356" s="56"/>
      <c r="H356" t="s">
        <v>17</v>
      </c>
      <c r="I356" t="s">
        <v>8</v>
      </c>
      <c r="J356">
        <v>-3.8E-3</v>
      </c>
      <c r="K356">
        <v>1.7</v>
      </c>
      <c r="L356">
        <v>-4.0000000000000001E-3</v>
      </c>
      <c r="N356">
        <v>0.60303791707909904</v>
      </c>
      <c r="O356">
        <v>31.136666666666667</v>
      </c>
      <c r="P356">
        <v>41.246666666666663</v>
      </c>
      <c r="Q356">
        <v>2.785767702812028</v>
      </c>
      <c r="R356">
        <v>1.315900428483983</v>
      </c>
      <c r="S356">
        <v>158.31200000000001</v>
      </c>
      <c r="T356">
        <v>192.28700000000001</v>
      </c>
      <c r="U356">
        <v>306.947</v>
      </c>
      <c r="V356">
        <v>372.69600000000003</v>
      </c>
      <c r="W356">
        <v>294.52100000000002</v>
      </c>
      <c r="X356">
        <v>224.48099999999999</v>
      </c>
      <c r="Y356">
        <v>265.28100000000001</v>
      </c>
      <c r="Z356">
        <v>314.197</v>
      </c>
      <c r="AC356">
        <f t="shared" si="12"/>
        <v>6</v>
      </c>
      <c r="AD356">
        <f t="shared" si="13"/>
        <v>24</v>
      </c>
      <c r="AE356">
        <f t="shared" si="14"/>
        <v>2024</v>
      </c>
      <c r="AG356" s="19">
        <v>45467</v>
      </c>
    </row>
    <row r="357" spans="1:33" x14ac:dyDescent="0.25">
      <c r="A357" s="25">
        <v>10356</v>
      </c>
      <c r="B357" t="s">
        <v>375</v>
      </c>
      <c r="C357" t="s">
        <v>375</v>
      </c>
      <c r="D357" s="27" t="s">
        <v>459</v>
      </c>
      <c r="E357" s="27">
        <v>4</v>
      </c>
      <c r="F357" s="56"/>
      <c r="G357" s="56"/>
      <c r="H357" t="s">
        <v>17</v>
      </c>
      <c r="I357" t="s">
        <v>8</v>
      </c>
      <c r="J357">
        <v>-2.3999999999999998E-3</v>
      </c>
      <c r="K357">
        <v>1.7050000000000001</v>
      </c>
      <c r="L357">
        <v>-3.0000000000000001E-3</v>
      </c>
      <c r="N357">
        <v>1.4350066717602503</v>
      </c>
      <c r="O357">
        <v>27.819999999999997</v>
      </c>
      <c r="P357">
        <v>37.33</v>
      </c>
      <c r="Q357">
        <v>2.7488622624511163</v>
      </c>
      <c r="R357">
        <v>1.3338559477657621</v>
      </c>
      <c r="S357">
        <v>897.49599999999998</v>
      </c>
      <c r="T357">
        <v>1262.9000000000001</v>
      </c>
      <c r="U357">
        <v>1370.59</v>
      </c>
      <c r="V357">
        <v>1424.22</v>
      </c>
      <c r="W357">
        <v>1360.43</v>
      </c>
      <c r="X357">
        <v>1423.7</v>
      </c>
      <c r="Y357">
        <v>1329.66</v>
      </c>
      <c r="Z357">
        <v>1357.05</v>
      </c>
      <c r="AC357">
        <f t="shared" si="12"/>
        <v>6</v>
      </c>
      <c r="AD357">
        <f t="shared" si="13"/>
        <v>24</v>
      </c>
      <c r="AE357">
        <f t="shared" si="14"/>
        <v>2024</v>
      </c>
      <c r="AG357" s="19">
        <v>45467</v>
      </c>
    </row>
    <row r="358" spans="1:33" x14ac:dyDescent="0.25">
      <c r="A358" s="25">
        <v>10357</v>
      </c>
      <c r="B358" t="s">
        <v>376</v>
      </c>
      <c r="C358" t="s">
        <v>376</v>
      </c>
      <c r="D358" s="27" t="s">
        <v>460</v>
      </c>
      <c r="E358" s="27">
        <v>5</v>
      </c>
      <c r="F358" s="56"/>
      <c r="G358" s="56"/>
      <c r="H358" t="s">
        <v>17</v>
      </c>
      <c r="I358" t="s">
        <v>8</v>
      </c>
      <c r="J358">
        <v>6.6E-3</v>
      </c>
      <c r="K358">
        <v>1.6120000000000001</v>
      </c>
      <c r="L358">
        <v>0</v>
      </c>
      <c r="N358">
        <v>0.7706619758508324</v>
      </c>
      <c r="O358">
        <v>28.053333333333331</v>
      </c>
      <c r="P358">
        <v>40.293333333333329</v>
      </c>
      <c r="Q358">
        <v>2.6116363997006813</v>
      </c>
      <c r="R358">
        <v>1.2606055906957763</v>
      </c>
      <c r="S358">
        <v>296.01299999999998</v>
      </c>
      <c r="T358">
        <v>443.95100000000002</v>
      </c>
      <c r="U358">
        <v>527.00300000000004</v>
      </c>
      <c r="V358">
        <v>594.56299999999999</v>
      </c>
      <c r="W358">
        <v>516.14099999999996</v>
      </c>
      <c r="X358">
        <v>506.52499999999998</v>
      </c>
      <c r="Y358">
        <v>495.303</v>
      </c>
      <c r="Z358">
        <v>580.08699999999999</v>
      </c>
      <c r="AC358">
        <f t="shared" si="12"/>
        <v>6</v>
      </c>
      <c r="AD358">
        <f t="shared" si="13"/>
        <v>24</v>
      </c>
      <c r="AE358">
        <f t="shared" si="14"/>
        <v>2024</v>
      </c>
      <c r="AG358" s="19">
        <v>45467</v>
      </c>
    </row>
    <row r="359" spans="1:33" x14ac:dyDescent="0.25">
      <c r="A359" s="25">
        <v>10358</v>
      </c>
      <c r="B359" t="s">
        <v>377</v>
      </c>
      <c r="C359" t="s">
        <v>377</v>
      </c>
      <c r="D359" s="27" t="s">
        <v>461</v>
      </c>
      <c r="E359" s="27">
        <v>6</v>
      </c>
      <c r="F359" s="56"/>
      <c r="G359" s="56"/>
      <c r="H359" t="s">
        <v>17</v>
      </c>
      <c r="I359" t="s">
        <v>8</v>
      </c>
      <c r="J359">
        <v>-3.5000000000000001E-3</v>
      </c>
      <c r="K359">
        <v>1.5620000000000001</v>
      </c>
      <c r="L359">
        <v>6.0000000000000001E-3</v>
      </c>
      <c r="N359">
        <v>4.1553525432513334</v>
      </c>
      <c r="O359">
        <v>40.466666666666669</v>
      </c>
      <c r="P359">
        <v>48.516666666666673</v>
      </c>
      <c r="Q359">
        <v>2.4115153498562978</v>
      </c>
      <c r="R359">
        <v>1.1687875943684962</v>
      </c>
      <c r="S359">
        <v>554.95100000000002</v>
      </c>
      <c r="T359">
        <v>685.24900000000002</v>
      </c>
      <c r="U359">
        <v>798.05899999999997</v>
      </c>
      <c r="V359">
        <v>865.11699999999996</v>
      </c>
      <c r="W359">
        <v>814.11500000000001</v>
      </c>
      <c r="X359">
        <v>808.21400000000006</v>
      </c>
      <c r="Y359">
        <v>905.56100000000004</v>
      </c>
      <c r="Z359">
        <v>1492.22</v>
      </c>
      <c r="AC359">
        <f t="shared" si="12"/>
        <v>6</v>
      </c>
      <c r="AD359">
        <f t="shared" si="13"/>
        <v>24</v>
      </c>
      <c r="AE359">
        <f t="shared" si="14"/>
        <v>2024</v>
      </c>
      <c r="AG359" s="19">
        <v>45467</v>
      </c>
    </row>
    <row r="360" spans="1:33" x14ac:dyDescent="0.25">
      <c r="A360" s="25">
        <v>10359</v>
      </c>
      <c r="B360" t="s">
        <v>378</v>
      </c>
      <c r="C360" t="s">
        <v>378</v>
      </c>
      <c r="D360" s="27" t="s">
        <v>462</v>
      </c>
      <c r="E360" s="27">
        <v>7</v>
      </c>
      <c r="F360" s="56"/>
      <c r="G360" s="56"/>
      <c r="H360" t="s">
        <v>17</v>
      </c>
      <c r="I360" t="s">
        <v>8</v>
      </c>
      <c r="J360">
        <v>2.53E-2</v>
      </c>
      <c r="K360">
        <v>1.6759999999999999</v>
      </c>
      <c r="L360">
        <v>-5.0000000000000001E-3</v>
      </c>
      <c r="N360">
        <v>0.35886266345629142</v>
      </c>
      <c r="O360">
        <v>19.733333333333334</v>
      </c>
      <c r="P360">
        <v>28.553333333333331</v>
      </c>
      <c r="Q360">
        <v>2.6693336374480232</v>
      </c>
      <c r="R360">
        <v>1.2561167108753315</v>
      </c>
      <c r="S360">
        <v>383.12799999999999</v>
      </c>
      <c r="T360">
        <v>581.30700000000002</v>
      </c>
      <c r="U360">
        <v>680.50699999999995</v>
      </c>
      <c r="V360">
        <v>731.94200000000001</v>
      </c>
      <c r="W360">
        <v>650.08699999999999</v>
      </c>
      <c r="X360">
        <v>648.74599999999998</v>
      </c>
      <c r="Y360">
        <v>602.45799999999997</v>
      </c>
      <c r="Z360">
        <v>583.976</v>
      </c>
      <c r="AC360">
        <f t="shared" si="12"/>
        <v>6</v>
      </c>
      <c r="AD360">
        <f t="shared" si="13"/>
        <v>24</v>
      </c>
      <c r="AE360">
        <f t="shared" si="14"/>
        <v>2024</v>
      </c>
      <c r="AG360" s="19">
        <v>45467</v>
      </c>
    </row>
    <row r="361" spans="1:33" x14ac:dyDescent="0.25">
      <c r="A361" s="25">
        <v>10360</v>
      </c>
      <c r="B361" t="s">
        <v>379</v>
      </c>
      <c r="C361" t="s">
        <v>379</v>
      </c>
      <c r="D361" s="27" t="s">
        <v>463</v>
      </c>
      <c r="E361" s="27">
        <v>8</v>
      </c>
      <c r="F361" s="56"/>
      <c r="G361" s="56"/>
      <c r="H361" t="s">
        <v>17</v>
      </c>
      <c r="I361" t="s">
        <v>8</v>
      </c>
      <c r="J361">
        <v>2.4299999999999999E-2</v>
      </c>
      <c r="K361">
        <v>1.6930000000000001</v>
      </c>
      <c r="L361">
        <v>-5.0000000000000001E-3</v>
      </c>
      <c r="N361">
        <v>0.42640239094176918</v>
      </c>
      <c r="O361">
        <v>14.82</v>
      </c>
      <c r="P361">
        <v>17.809999999999999</v>
      </c>
      <c r="Q361">
        <v>2.7790103686614387</v>
      </c>
      <c r="R361">
        <v>1.3736437461742503</v>
      </c>
      <c r="S361">
        <v>299.73200000000003</v>
      </c>
      <c r="T361">
        <v>432.55900000000003</v>
      </c>
      <c r="U361">
        <v>524.59799999999996</v>
      </c>
      <c r="V361">
        <v>587.97299999999996</v>
      </c>
      <c r="W361">
        <v>492.13099999999997</v>
      </c>
      <c r="X361">
        <v>465.03800000000001</v>
      </c>
      <c r="Y361">
        <v>441.54</v>
      </c>
      <c r="Z361">
        <v>444.85199999999998</v>
      </c>
      <c r="AC361">
        <f t="shared" si="12"/>
        <v>6</v>
      </c>
      <c r="AD361">
        <f t="shared" si="13"/>
        <v>24</v>
      </c>
      <c r="AE361">
        <f t="shared" si="14"/>
        <v>2024</v>
      </c>
      <c r="AG361" s="19">
        <v>45467</v>
      </c>
    </row>
    <row r="362" spans="1:33" x14ac:dyDescent="0.25">
      <c r="A362" s="25">
        <v>10361</v>
      </c>
      <c r="B362" t="s">
        <v>380</v>
      </c>
      <c r="C362" t="s">
        <v>380</v>
      </c>
      <c r="D362" s="27" t="s">
        <v>464</v>
      </c>
      <c r="E362" s="27">
        <v>9</v>
      </c>
      <c r="F362" s="56"/>
      <c r="G362" s="56"/>
      <c r="H362" t="s">
        <v>17</v>
      </c>
      <c r="I362" t="s">
        <v>8</v>
      </c>
      <c r="J362">
        <v>2.1999999999999999E-2</v>
      </c>
      <c r="K362">
        <v>1.7330000000000001</v>
      </c>
      <c r="L362">
        <v>-5.0000000000000001E-3</v>
      </c>
      <c r="N362">
        <v>0.56276013323861318</v>
      </c>
      <c r="O362">
        <v>13.233333333333334</v>
      </c>
      <c r="P362">
        <v>21.39</v>
      </c>
      <c r="Q362">
        <v>2.9552208515114291</v>
      </c>
      <c r="R362">
        <v>1.4409769434809223</v>
      </c>
      <c r="S362">
        <v>234.00399999999999</v>
      </c>
      <c r="T362">
        <v>369.00200000000001</v>
      </c>
      <c r="U362">
        <v>480.536</v>
      </c>
      <c r="V362">
        <v>545.774</v>
      </c>
      <c r="W362">
        <v>432.93</v>
      </c>
      <c r="X362">
        <v>396.48899999999998</v>
      </c>
      <c r="Y362">
        <v>373.22500000000002</v>
      </c>
      <c r="Z362">
        <v>342.74299999999999</v>
      </c>
      <c r="AC362">
        <f t="shared" si="12"/>
        <v>6</v>
      </c>
      <c r="AD362">
        <f t="shared" si="13"/>
        <v>24</v>
      </c>
      <c r="AE362">
        <f t="shared" si="14"/>
        <v>2024</v>
      </c>
      <c r="AG362" s="19">
        <v>45467</v>
      </c>
    </row>
    <row r="363" spans="1:33" x14ac:dyDescent="0.25">
      <c r="A363" s="25">
        <v>10362</v>
      </c>
      <c r="B363" t="s">
        <v>381</v>
      </c>
      <c r="C363" t="s">
        <v>381</v>
      </c>
      <c r="D363" s="27" t="s">
        <v>465</v>
      </c>
      <c r="E363" s="27">
        <v>10</v>
      </c>
      <c r="F363" s="56"/>
      <c r="G363" s="56"/>
      <c r="H363" t="s">
        <v>17</v>
      </c>
      <c r="I363" t="s">
        <v>8</v>
      </c>
      <c r="J363">
        <v>2.0199999999999999E-2</v>
      </c>
      <c r="K363">
        <v>1.722</v>
      </c>
      <c r="L363">
        <v>-6.0000000000000001E-3</v>
      </c>
      <c r="N363" t="s">
        <v>509</v>
      </c>
      <c r="O363">
        <v>14.886666666666665</v>
      </c>
      <c r="P363">
        <v>14.156666666666666</v>
      </c>
      <c r="Q363">
        <v>2.7675748800989028</v>
      </c>
      <c r="R363">
        <v>1.3936396653744136</v>
      </c>
      <c r="S363">
        <v>205.709</v>
      </c>
      <c r="T363">
        <v>241.68700000000001</v>
      </c>
      <c r="U363">
        <v>368.87200000000001</v>
      </c>
      <c r="V363">
        <v>449.577</v>
      </c>
      <c r="W363">
        <v>348.036</v>
      </c>
      <c r="X363">
        <v>276.52100000000002</v>
      </c>
      <c r="Y363">
        <v>320.03699999999998</v>
      </c>
      <c r="Z363">
        <v>337.43700000000001</v>
      </c>
      <c r="AC363">
        <f t="shared" si="12"/>
        <v>6</v>
      </c>
      <c r="AD363">
        <f t="shared" si="13"/>
        <v>24</v>
      </c>
      <c r="AE363">
        <f t="shared" si="14"/>
        <v>2024</v>
      </c>
      <c r="AG363" s="19">
        <v>45467</v>
      </c>
    </row>
    <row r="364" spans="1:33" x14ac:dyDescent="0.25">
      <c r="A364" s="25">
        <v>10363</v>
      </c>
      <c r="B364" t="s">
        <v>382</v>
      </c>
      <c r="C364" t="s">
        <v>382</v>
      </c>
      <c r="D364" s="27" t="s">
        <v>466</v>
      </c>
      <c r="E364" s="27">
        <v>11</v>
      </c>
      <c r="F364" s="56"/>
      <c r="G364" s="56"/>
      <c r="H364" t="s">
        <v>17</v>
      </c>
      <c r="I364" t="s">
        <v>8</v>
      </c>
      <c r="J364">
        <v>2.0799999999999999E-2</v>
      </c>
      <c r="K364">
        <v>1.7370000000000001</v>
      </c>
      <c r="L364">
        <v>-4.0000000000000001E-3</v>
      </c>
      <c r="N364">
        <v>0.39820835685073785</v>
      </c>
      <c r="O364">
        <v>13.329999999999998</v>
      </c>
      <c r="P364">
        <v>18.546666666666667</v>
      </c>
      <c r="Q364">
        <v>2.7535404168630624</v>
      </c>
      <c r="R364">
        <v>1.2916196694552133</v>
      </c>
      <c r="S364">
        <v>378.37799999999999</v>
      </c>
      <c r="T364">
        <v>562.26700000000005</v>
      </c>
      <c r="U364">
        <v>644.58699999999999</v>
      </c>
      <c r="V364">
        <v>716.58600000000001</v>
      </c>
      <c r="W364">
        <v>604.79100000000005</v>
      </c>
      <c r="X364">
        <v>591.08600000000001</v>
      </c>
      <c r="Y364">
        <v>533.14</v>
      </c>
      <c r="Z364">
        <v>519.88599999999997</v>
      </c>
      <c r="AC364">
        <f t="shared" ref="AC364:AC395" si="15">MONTH(AG364)</f>
        <v>6</v>
      </c>
      <c r="AD364">
        <f t="shared" ref="AD364:AD395" si="16">DAY(AG364)</f>
        <v>24</v>
      </c>
      <c r="AE364">
        <f t="shared" ref="AE364:AE395" si="17">YEAR(AG364)</f>
        <v>2024</v>
      </c>
      <c r="AG364" s="19">
        <v>45467</v>
      </c>
    </row>
    <row r="365" spans="1:33" x14ac:dyDescent="0.25">
      <c r="A365" s="25">
        <v>10364</v>
      </c>
      <c r="B365" t="s">
        <v>383</v>
      </c>
      <c r="C365" t="s">
        <v>383</v>
      </c>
      <c r="D365" s="27" t="s">
        <v>467</v>
      </c>
      <c r="E365" s="27">
        <v>12</v>
      </c>
      <c r="F365" s="56"/>
      <c r="G365" s="56"/>
      <c r="H365" t="s">
        <v>17</v>
      </c>
      <c r="I365" t="s">
        <v>8</v>
      </c>
      <c r="J365">
        <v>6.6E-3</v>
      </c>
      <c r="K365">
        <v>1.77</v>
      </c>
      <c r="L365">
        <v>-6.0000000000000001E-3</v>
      </c>
      <c r="N365">
        <v>1.1541632770311205</v>
      </c>
      <c r="O365">
        <v>9.5400000000000009</v>
      </c>
      <c r="P365">
        <v>13.6</v>
      </c>
      <c r="Q365">
        <v>2.7597779560789917</v>
      </c>
      <c r="R365">
        <v>0.9421671767666463</v>
      </c>
      <c r="S365">
        <v>142.65299999999999</v>
      </c>
      <c r="T365">
        <v>180.482</v>
      </c>
      <c r="U365">
        <v>233.959</v>
      </c>
      <c r="V365">
        <v>253.744</v>
      </c>
      <c r="W365">
        <v>234.37899999999999</v>
      </c>
      <c r="X365">
        <v>203.79499999999999</v>
      </c>
      <c r="Y365">
        <v>222.08699999999999</v>
      </c>
      <c r="Z365">
        <v>319.69900000000001</v>
      </c>
      <c r="AC365">
        <f t="shared" si="15"/>
        <v>6</v>
      </c>
      <c r="AD365">
        <f t="shared" si="16"/>
        <v>24</v>
      </c>
      <c r="AE365">
        <f t="shared" si="17"/>
        <v>2024</v>
      </c>
      <c r="AG365" s="19">
        <v>45467</v>
      </c>
    </row>
    <row r="366" spans="1:33" x14ac:dyDescent="0.25">
      <c r="A366" s="25">
        <v>10365</v>
      </c>
      <c r="B366" t="s">
        <v>384</v>
      </c>
      <c r="C366" t="s">
        <v>384</v>
      </c>
      <c r="D366" s="27" t="s">
        <v>468</v>
      </c>
      <c r="E366" s="27">
        <v>13</v>
      </c>
      <c r="F366" s="56"/>
      <c r="G366" s="56"/>
      <c r="H366" t="s">
        <v>17</v>
      </c>
      <c r="I366" t="s">
        <v>8</v>
      </c>
      <c r="J366">
        <v>1.09E-2</v>
      </c>
      <c r="K366">
        <v>1.5229999999999999</v>
      </c>
      <c r="L366">
        <v>-2E-3</v>
      </c>
      <c r="N366">
        <v>0.29678288592751328</v>
      </c>
      <c r="O366">
        <v>20.063333333333333</v>
      </c>
      <c r="P366">
        <v>22.850000000000005</v>
      </c>
      <c r="Q366">
        <v>2.7956438065705824</v>
      </c>
      <c r="R366">
        <v>0.91972277766442223</v>
      </c>
      <c r="S366">
        <v>216.41300000000001</v>
      </c>
      <c r="T366">
        <v>276.666</v>
      </c>
      <c r="U366">
        <v>388.48</v>
      </c>
      <c r="V366">
        <v>459.548</v>
      </c>
      <c r="W366">
        <v>381.96800000000002</v>
      </c>
      <c r="X366">
        <v>316.642</v>
      </c>
      <c r="Y366">
        <v>350.31400000000002</v>
      </c>
      <c r="Z366">
        <v>438.08800000000002</v>
      </c>
      <c r="AC366">
        <f t="shared" si="15"/>
        <v>6</v>
      </c>
      <c r="AD366">
        <f t="shared" si="16"/>
        <v>24</v>
      </c>
      <c r="AE366">
        <f t="shared" si="17"/>
        <v>2024</v>
      </c>
      <c r="AG366" s="19">
        <v>45467</v>
      </c>
    </row>
    <row r="367" spans="1:33" x14ac:dyDescent="0.25">
      <c r="A367" s="25">
        <v>10366</v>
      </c>
      <c r="B367" t="s">
        <v>385</v>
      </c>
      <c r="C367" t="s">
        <v>385</v>
      </c>
      <c r="D367" s="27" t="s">
        <v>485</v>
      </c>
      <c r="E367" s="27">
        <v>1</v>
      </c>
      <c r="F367" s="56"/>
      <c r="G367" s="56"/>
      <c r="H367" t="s">
        <v>19</v>
      </c>
      <c r="I367" t="s">
        <v>8</v>
      </c>
      <c r="J367">
        <v>1.77E-2</v>
      </c>
      <c r="K367">
        <v>2.1379999999999999</v>
      </c>
      <c r="L367">
        <v>-3.3000000000000002E-2</v>
      </c>
      <c r="N367">
        <v>0.34058794311516605</v>
      </c>
      <c r="O367">
        <v>14.056666666666667</v>
      </c>
      <c r="P367">
        <v>16.13</v>
      </c>
      <c r="Q367">
        <v>4.1471106366884989</v>
      </c>
      <c r="R367">
        <v>1.7403036115078554</v>
      </c>
      <c r="S367">
        <v>378.14299999999997</v>
      </c>
      <c r="T367">
        <v>495.435</v>
      </c>
      <c r="U367">
        <v>570.93899999999996</v>
      </c>
      <c r="V367">
        <v>647.37</v>
      </c>
      <c r="W367">
        <v>637.03300000000002</v>
      </c>
      <c r="X367">
        <v>584.69600000000003</v>
      </c>
      <c r="Y367">
        <v>598.87300000000005</v>
      </c>
      <c r="Z367">
        <v>628.92200000000003</v>
      </c>
      <c r="AC367">
        <f t="shared" si="15"/>
        <v>6</v>
      </c>
      <c r="AD367">
        <f t="shared" si="16"/>
        <v>27</v>
      </c>
      <c r="AE367">
        <f t="shared" si="17"/>
        <v>2024</v>
      </c>
      <c r="AG367" s="19">
        <v>45470</v>
      </c>
    </row>
    <row r="368" spans="1:33" x14ac:dyDescent="0.25">
      <c r="A368" s="25">
        <v>10367</v>
      </c>
      <c r="B368" t="s">
        <v>386</v>
      </c>
      <c r="C368" t="s">
        <v>386</v>
      </c>
      <c r="D368" s="27" t="s">
        <v>486</v>
      </c>
      <c r="E368" s="27">
        <v>2</v>
      </c>
      <c r="F368" s="56"/>
      <c r="G368" s="56"/>
      <c r="H368" t="s">
        <v>19</v>
      </c>
      <c r="I368" t="s">
        <v>8</v>
      </c>
      <c r="J368">
        <v>2.41E-2</v>
      </c>
      <c r="K368">
        <v>2.052</v>
      </c>
      <c r="L368">
        <v>-2.1000000000000001E-2</v>
      </c>
      <c r="N368">
        <v>0.42691706430212684</v>
      </c>
      <c r="O368">
        <v>5.4066666666666663</v>
      </c>
      <c r="P368">
        <v>5.8</v>
      </c>
      <c r="Q368">
        <v>4.0135233384806899</v>
      </c>
      <c r="R368">
        <v>1.710921852683126</v>
      </c>
      <c r="S368">
        <v>222.42500000000001</v>
      </c>
      <c r="T368">
        <v>267.39999999999998</v>
      </c>
      <c r="U368">
        <v>362.113</v>
      </c>
      <c r="V368">
        <v>434.00700000000001</v>
      </c>
      <c r="W368">
        <v>408.74299999999999</v>
      </c>
      <c r="X368">
        <v>334.34500000000003</v>
      </c>
      <c r="Y368">
        <v>381.07600000000002</v>
      </c>
      <c r="Z368">
        <v>410.90699999999998</v>
      </c>
      <c r="AC368">
        <f t="shared" si="15"/>
        <v>6</v>
      </c>
      <c r="AD368">
        <f t="shared" si="16"/>
        <v>27</v>
      </c>
      <c r="AE368">
        <f t="shared" si="17"/>
        <v>2024</v>
      </c>
      <c r="AG368" s="19">
        <v>45470</v>
      </c>
    </row>
    <row r="369" spans="1:33" x14ac:dyDescent="0.25">
      <c r="A369" s="25">
        <v>10368</v>
      </c>
      <c r="B369" t="s">
        <v>387</v>
      </c>
      <c r="C369" t="s">
        <v>387</v>
      </c>
      <c r="D369" s="27" t="s">
        <v>487</v>
      </c>
      <c r="E369" s="27">
        <v>3</v>
      </c>
      <c r="F369" s="56"/>
      <c r="G369" s="56"/>
      <c r="H369" t="s">
        <v>19</v>
      </c>
      <c r="I369" t="s">
        <v>8</v>
      </c>
      <c r="J369">
        <v>1.5100000000000001E-2</v>
      </c>
      <c r="K369">
        <v>2.0339999999999998</v>
      </c>
      <c r="L369">
        <v>-3.3000000000000002E-2</v>
      </c>
      <c r="N369" t="s">
        <v>509</v>
      </c>
      <c r="O369">
        <v>3.59</v>
      </c>
      <c r="P369">
        <v>2.8699999999999997</v>
      </c>
      <c r="Q369">
        <v>3.8669411669063614</v>
      </c>
      <c r="R369">
        <v>1.6178796164048155</v>
      </c>
      <c r="S369">
        <v>310.99200000000002</v>
      </c>
      <c r="T369">
        <v>450.45100000000002</v>
      </c>
      <c r="U369">
        <v>509.71499999999997</v>
      </c>
      <c r="V369">
        <v>578.029</v>
      </c>
      <c r="W369">
        <v>555.98800000000006</v>
      </c>
      <c r="X369">
        <v>522.04899999999998</v>
      </c>
      <c r="Y369">
        <v>513.70699999999999</v>
      </c>
      <c r="Z369">
        <v>498.637</v>
      </c>
      <c r="AC369">
        <f t="shared" si="15"/>
        <v>6</v>
      </c>
      <c r="AD369">
        <f t="shared" si="16"/>
        <v>27</v>
      </c>
      <c r="AE369">
        <f t="shared" si="17"/>
        <v>2024</v>
      </c>
      <c r="AG369" s="19">
        <v>45470</v>
      </c>
    </row>
    <row r="370" spans="1:33" x14ac:dyDescent="0.25">
      <c r="A370" s="25">
        <v>10369</v>
      </c>
      <c r="B370" t="s">
        <v>388</v>
      </c>
      <c r="C370" t="s">
        <v>388</v>
      </c>
      <c r="D370" s="27" t="s">
        <v>488</v>
      </c>
      <c r="E370" s="27">
        <v>4</v>
      </c>
      <c r="F370" s="56"/>
      <c r="G370" s="56"/>
      <c r="H370" t="s">
        <v>19</v>
      </c>
      <c r="I370" t="s">
        <v>8</v>
      </c>
      <c r="J370">
        <v>1.9099999999999999E-2</v>
      </c>
      <c r="K370">
        <v>1.9239999999999999</v>
      </c>
      <c r="L370">
        <v>-3.4000000000000002E-2</v>
      </c>
      <c r="N370">
        <v>0.40175155267877694</v>
      </c>
      <c r="O370">
        <v>6.06</v>
      </c>
      <c r="P370">
        <v>11.106666666666664</v>
      </c>
      <c r="Q370">
        <v>3.5436287175473833</v>
      </c>
      <c r="R370">
        <v>1.4324072638237095</v>
      </c>
      <c r="S370">
        <v>172.39500000000001</v>
      </c>
      <c r="T370">
        <v>227.81399999999999</v>
      </c>
      <c r="U370">
        <v>328.64699999999999</v>
      </c>
      <c r="V370">
        <v>408.79700000000003</v>
      </c>
      <c r="W370">
        <v>365.41399999999999</v>
      </c>
      <c r="X370">
        <v>293.91899999999998</v>
      </c>
      <c r="Y370">
        <v>310.36099999999999</v>
      </c>
      <c r="Z370">
        <v>329.39</v>
      </c>
      <c r="AC370">
        <f t="shared" si="15"/>
        <v>6</v>
      </c>
      <c r="AD370">
        <f t="shared" si="16"/>
        <v>27</v>
      </c>
      <c r="AE370">
        <f t="shared" si="17"/>
        <v>2024</v>
      </c>
      <c r="AG370" s="19">
        <v>45470</v>
      </c>
    </row>
    <row r="371" spans="1:33" x14ac:dyDescent="0.25">
      <c r="A371" s="25">
        <v>10370</v>
      </c>
      <c r="B371" t="s">
        <v>389</v>
      </c>
      <c r="C371" t="s">
        <v>389</v>
      </c>
      <c r="D371" s="27" t="s">
        <v>489</v>
      </c>
      <c r="E371" s="27">
        <v>5</v>
      </c>
      <c r="F371" s="56"/>
      <c r="G371" s="56"/>
      <c r="H371" t="s">
        <v>19</v>
      </c>
      <c r="I371" t="s">
        <v>8</v>
      </c>
      <c r="J371">
        <v>5.4000000000000003E-3</v>
      </c>
      <c r="K371">
        <v>1.93</v>
      </c>
      <c r="L371">
        <v>-3.5999999999999997E-2</v>
      </c>
      <c r="N371">
        <v>0.62165368181414871</v>
      </c>
      <c r="O371">
        <v>4.8866666666666667</v>
      </c>
      <c r="P371">
        <v>2.8466666666666662</v>
      </c>
      <c r="Q371">
        <v>3.351824386657571</v>
      </c>
      <c r="R371">
        <v>1.3558922668843094</v>
      </c>
      <c r="S371">
        <v>260.02699999999999</v>
      </c>
      <c r="T371">
        <v>335.44099999999997</v>
      </c>
      <c r="U371">
        <v>419.22899999999998</v>
      </c>
      <c r="V371">
        <v>477.94200000000001</v>
      </c>
      <c r="W371">
        <v>456.51499999999999</v>
      </c>
      <c r="X371">
        <v>417.459</v>
      </c>
      <c r="Y371">
        <v>422.34399999999999</v>
      </c>
      <c r="Z371">
        <v>507.00900000000001</v>
      </c>
      <c r="AC371">
        <f t="shared" si="15"/>
        <v>6</v>
      </c>
      <c r="AD371">
        <f t="shared" si="16"/>
        <v>27</v>
      </c>
      <c r="AE371">
        <f t="shared" si="17"/>
        <v>2024</v>
      </c>
      <c r="AG371" s="19">
        <v>45470</v>
      </c>
    </row>
    <row r="372" spans="1:33" x14ac:dyDescent="0.25">
      <c r="A372" s="25">
        <v>10371</v>
      </c>
      <c r="B372" t="s">
        <v>390</v>
      </c>
      <c r="C372" t="s">
        <v>390</v>
      </c>
      <c r="D372" s="27" t="s">
        <v>490</v>
      </c>
      <c r="E372" s="27">
        <v>6</v>
      </c>
      <c r="F372" s="56"/>
      <c r="G372" s="56"/>
      <c r="H372" t="s">
        <v>19</v>
      </c>
      <c r="I372" t="s">
        <v>8</v>
      </c>
      <c r="J372">
        <v>2.3599999999999999E-2</v>
      </c>
      <c r="K372">
        <v>1.8080000000000001</v>
      </c>
      <c r="L372">
        <v>-3.5999999999999997E-2</v>
      </c>
      <c r="N372">
        <v>0.40816819826437972</v>
      </c>
      <c r="O372">
        <v>6.9300000000000006</v>
      </c>
      <c r="P372">
        <v>7.7133333333333338</v>
      </c>
      <c r="Q372">
        <v>3.3362305386177491</v>
      </c>
      <c r="R372">
        <v>1.4071063048357479</v>
      </c>
      <c r="S372">
        <v>427.84</v>
      </c>
      <c r="T372">
        <v>516.65700000000004</v>
      </c>
      <c r="U372">
        <v>604.37400000000002</v>
      </c>
      <c r="V372">
        <v>687.221</v>
      </c>
      <c r="W372">
        <v>671.86900000000003</v>
      </c>
      <c r="X372">
        <v>624.60299999999995</v>
      </c>
      <c r="Y372">
        <v>639.971</v>
      </c>
      <c r="Z372">
        <v>688.755</v>
      </c>
      <c r="AC372">
        <f t="shared" si="15"/>
        <v>6</v>
      </c>
      <c r="AD372">
        <f t="shared" si="16"/>
        <v>27</v>
      </c>
      <c r="AE372">
        <f t="shared" si="17"/>
        <v>2024</v>
      </c>
      <c r="AG372" s="19">
        <v>45470</v>
      </c>
    </row>
    <row r="373" spans="1:33" x14ac:dyDescent="0.25">
      <c r="A373" s="25">
        <v>10372</v>
      </c>
      <c r="B373" t="s">
        <v>391</v>
      </c>
      <c r="C373" t="s">
        <v>391</v>
      </c>
      <c r="D373" s="27" t="s">
        <v>491</v>
      </c>
      <c r="E373" s="27">
        <v>7</v>
      </c>
      <c r="F373" s="56"/>
      <c r="G373" s="56"/>
      <c r="H373" t="s">
        <v>19</v>
      </c>
      <c r="I373" t="s">
        <v>8</v>
      </c>
      <c r="J373">
        <v>2.3699999999999999E-2</v>
      </c>
      <c r="K373">
        <v>1.617</v>
      </c>
      <c r="L373">
        <v>-3.7999999999999999E-2</v>
      </c>
      <c r="N373">
        <v>0.52657273403023397</v>
      </c>
      <c r="O373">
        <v>9.6333333333333346</v>
      </c>
      <c r="P373">
        <v>8.2266666666666666</v>
      </c>
      <c r="Q373">
        <v>3.0659371725941655</v>
      </c>
      <c r="R373">
        <v>1.3354882677004691</v>
      </c>
      <c r="S373">
        <v>407.791</v>
      </c>
      <c r="T373">
        <v>521.04600000000005</v>
      </c>
      <c r="U373">
        <v>625.76</v>
      </c>
      <c r="V373">
        <v>710.45699999999999</v>
      </c>
      <c r="W373">
        <v>682.43499999999995</v>
      </c>
      <c r="X373">
        <v>642.71199999999999</v>
      </c>
      <c r="Y373">
        <v>649.68299999999999</v>
      </c>
      <c r="Z373">
        <v>669.66700000000003</v>
      </c>
      <c r="AC373">
        <f t="shared" si="15"/>
        <v>6</v>
      </c>
      <c r="AD373">
        <f t="shared" si="16"/>
        <v>27</v>
      </c>
      <c r="AE373">
        <f t="shared" si="17"/>
        <v>2024</v>
      </c>
      <c r="AG373" s="19">
        <v>45470</v>
      </c>
    </row>
    <row r="374" spans="1:33" x14ac:dyDescent="0.25">
      <c r="A374" s="25">
        <v>10373</v>
      </c>
      <c r="B374" t="s">
        <v>392</v>
      </c>
      <c r="C374" t="s">
        <v>392</v>
      </c>
      <c r="D374" s="27" t="s">
        <v>492</v>
      </c>
      <c r="E374" s="27">
        <v>8</v>
      </c>
      <c r="F374" s="56"/>
      <c r="G374" s="56"/>
      <c r="H374" t="s">
        <v>19</v>
      </c>
      <c r="I374" t="s">
        <v>8</v>
      </c>
      <c r="J374">
        <v>2.06E-2</v>
      </c>
      <c r="K374">
        <v>1.7430000000000001</v>
      </c>
      <c r="L374">
        <v>-0.04</v>
      </c>
      <c r="N374">
        <v>0.50390770545922192</v>
      </c>
      <c r="O374">
        <v>17.106666666666669</v>
      </c>
      <c r="P374">
        <v>16.183333333333334</v>
      </c>
      <c r="Q374">
        <v>3.68969109418705</v>
      </c>
      <c r="R374">
        <v>1.5968634972454603</v>
      </c>
      <c r="S374">
        <v>413.11099999999999</v>
      </c>
      <c r="T374">
        <v>510.07499999999999</v>
      </c>
      <c r="U374">
        <v>591.62300000000005</v>
      </c>
      <c r="V374">
        <v>662.22500000000002</v>
      </c>
      <c r="W374">
        <v>645.88199999999995</v>
      </c>
      <c r="X374">
        <v>610.37800000000004</v>
      </c>
      <c r="Y374">
        <v>610.98599999999999</v>
      </c>
      <c r="Z374">
        <v>674.41099999999994</v>
      </c>
      <c r="AC374">
        <f t="shared" si="15"/>
        <v>6</v>
      </c>
      <c r="AD374">
        <f t="shared" si="16"/>
        <v>27</v>
      </c>
      <c r="AE374">
        <f t="shared" si="17"/>
        <v>2024</v>
      </c>
      <c r="AG374" s="19">
        <v>45470</v>
      </c>
    </row>
    <row r="375" spans="1:33" x14ac:dyDescent="0.25">
      <c r="A375" s="25">
        <v>10374</v>
      </c>
      <c r="B375" t="s">
        <v>393</v>
      </c>
      <c r="C375" t="s">
        <v>393</v>
      </c>
      <c r="D375" s="27" t="s">
        <v>493</v>
      </c>
      <c r="E375" s="27">
        <v>9</v>
      </c>
      <c r="F375" s="56"/>
      <c r="G375" s="56"/>
      <c r="H375" t="s">
        <v>19</v>
      </c>
      <c r="I375" t="s">
        <v>8</v>
      </c>
      <c r="J375">
        <v>1.2500000000000001E-2</v>
      </c>
      <c r="K375">
        <v>1.7909999999999999</v>
      </c>
      <c r="L375">
        <v>-3.9E-2</v>
      </c>
      <c r="N375">
        <v>0.79845920158930817</v>
      </c>
      <c r="O375">
        <v>15.343333333333334</v>
      </c>
      <c r="P375">
        <v>21.166666666666668</v>
      </c>
      <c r="Q375">
        <v>3.4999659430358809</v>
      </c>
      <c r="R375">
        <v>1.5332030197918793</v>
      </c>
      <c r="S375">
        <v>289.83199999999999</v>
      </c>
      <c r="T375">
        <v>357.12299999999999</v>
      </c>
      <c r="U375">
        <v>444.19900000000001</v>
      </c>
      <c r="V375">
        <v>503.84500000000003</v>
      </c>
      <c r="W375">
        <v>483.15300000000002</v>
      </c>
      <c r="X375">
        <v>446.95699999999999</v>
      </c>
      <c r="Y375">
        <v>445.83300000000003</v>
      </c>
      <c r="Z375">
        <v>540.31200000000001</v>
      </c>
      <c r="AC375">
        <f t="shared" si="15"/>
        <v>6</v>
      </c>
      <c r="AD375">
        <f t="shared" si="16"/>
        <v>27</v>
      </c>
      <c r="AE375">
        <f t="shared" si="17"/>
        <v>2024</v>
      </c>
      <c r="AG375" s="19">
        <v>45470</v>
      </c>
    </row>
    <row r="376" spans="1:33" x14ac:dyDescent="0.25">
      <c r="A376" s="25">
        <v>10375</v>
      </c>
      <c r="B376" t="s">
        <v>394</v>
      </c>
      <c r="C376" t="s">
        <v>394</v>
      </c>
      <c r="D376" s="27" t="s">
        <v>494</v>
      </c>
      <c r="E376" s="27">
        <v>10</v>
      </c>
      <c r="F376" s="56"/>
      <c r="G376" s="56"/>
      <c r="H376" t="s">
        <v>19</v>
      </c>
      <c r="I376" t="s">
        <v>8</v>
      </c>
      <c r="J376">
        <v>3.61E-2</v>
      </c>
      <c r="K376">
        <v>1.831</v>
      </c>
      <c r="L376">
        <v>-0.03</v>
      </c>
      <c r="N376">
        <v>0.53836416339767168</v>
      </c>
      <c r="O376">
        <v>16.63</v>
      </c>
      <c r="P376">
        <v>13.063333333333333</v>
      </c>
      <c r="Q376">
        <v>3.9516677412560615</v>
      </c>
      <c r="R376">
        <v>1.6741946541522141</v>
      </c>
      <c r="S376">
        <v>201.036</v>
      </c>
      <c r="T376">
        <v>278.286</v>
      </c>
      <c r="U376">
        <v>378.51799999999997</v>
      </c>
      <c r="V376">
        <v>446.995</v>
      </c>
      <c r="W376">
        <v>402.44099999999997</v>
      </c>
      <c r="X376">
        <v>358.47</v>
      </c>
      <c r="Y376">
        <v>367.37200000000001</v>
      </c>
      <c r="Z376">
        <v>386.44900000000001</v>
      </c>
      <c r="AC376">
        <f t="shared" si="15"/>
        <v>6</v>
      </c>
      <c r="AD376">
        <f t="shared" si="16"/>
        <v>27</v>
      </c>
      <c r="AE376">
        <f t="shared" si="17"/>
        <v>2024</v>
      </c>
      <c r="AG376" s="19">
        <v>45470</v>
      </c>
    </row>
    <row r="377" spans="1:33" x14ac:dyDescent="0.25">
      <c r="A377" s="25">
        <v>10376</v>
      </c>
      <c r="B377" t="s">
        <v>395</v>
      </c>
      <c r="C377" t="s">
        <v>395</v>
      </c>
      <c r="D377" s="27" t="s">
        <v>495</v>
      </c>
      <c r="E377" s="27">
        <v>13</v>
      </c>
      <c r="F377" s="56"/>
      <c r="G377" s="56"/>
      <c r="H377" t="s">
        <v>19</v>
      </c>
      <c r="I377" t="s">
        <v>8</v>
      </c>
      <c r="J377">
        <v>6.8999999999999999E-3</v>
      </c>
      <c r="K377">
        <v>2.0219999999999998</v>
      </c>
      <c r="L377">
        <v>-3.2000000000000001E-2</v>
      </c>
      <c r="N377">
        <v>0.58084984178456001</v>
      </c>
      <c r="O377">
        <v>6.0266666666666664</v>
      </c>
      <c r="P377">
        <v>4.9899999999999993</v>
      </c>
      <c r="Q377">
        <v>3.9527073311253833</v>
      </c>
      <c r="R377">
        <v>1.6639926545602939</v>
      </c>
      <c r="S377">
        <v>312.01100000000002</v>
      </c>
      <c r="T377">
        <v>402.28399999999999</v>
      </c>
      <c r="U377">
        <v>489.56400000000002</v>
      </c>
      <c r="V377">
        <v>564.23699999999997</v>
      </c>
      <c r="W377">
        <v>540.82799999999997</v>
      </c>
      <c r="X377">
        <v>480.53399999999999</v>
      </c>
      <c r="Y377">
        <v>504.93700000000001</v>
      </c>
      <c r="Z377">
        <v>514.221</v>
      </c>
      <c r="AC377">
        <f t="shared" si="15"/>
        <v>6</v>
      </c>
      <c r="AD377">
        <f t="shared" si="16"/>
        <v>27</v>
      </c>
      <c r="AE377">
        <f t="shared" si="17"/>
        <v>2024</v>
      </c>
      <c r="AG377" s="19">
        <v>45470</v>
      </c>
    </row>
    <row r="378" spans="1:33" x14ac:dyDescent="0.25">
      <c r="A378" s="25">
        <v>10377</v>
      </c>
      <c r="B378" t="s">
        <v>396</v>
      </c>
      <c r="C378" t="s">
        <v>396</v>
      </c>
      <c r="D378" s="27" t="s">
        <v>496</v>
      </c>
      <c r="E378" s="27">
        <v>14</v>
      </c>
      <c r="F378" s="124">
        <v>15</v>
      </c>
      <c r="G378" s="124"/>
      <c r="H378" t="s">
        <v>19</v>
      </c>
      <c r="I378" t="s">
        <v>8</v>
      </c>
      <c r="J378">
        <v>2.8E-3</v>
      </c>
      <c r="K378">
        <v>2.036</v>
      </c>
      <c r="L378">
        <v>-3.4000000000000002E-2</v>
      </c>
      <c r="N378">
        <v>0.63492242791880182</v>
      </c>
      <c r="O378">
        <v>13.160000000000002</v>
      </c>
      <c r="P378">
        <v>14.813333333333333</v>
      </c>
      <c r="Q378">
        <v>4.0774581154439602</v>
      </c>
      <c r="R378">
        <v>1.74866925117323</v>
      </c>
      <c r="S378">
        <v>357.76499999999999</v>
      </c>
      <c r="T378">
        <v>471.49799999999999</v>
      </c>
      <c r="U378">
        <v>576.65599999999995</v>
      </c>
      <c r="V378">
        <v>657.55100000000004</v>
      </c>
      <c r="W378">
        <v>612.88900000000001</v>
      </c>
      <c r="X378">
        <v>576.92200000000003</v>
      </c>
      <c r="Y378">
        <v>577.197</v>
      </c>
      <c r="Z378">
        <v>591.89700000000005</v>
      </c>
      <c r="AC378">
        <f t="shared" si="15"/>
        <v>6</v>
      </c>
      <c r="AD378">
        <f t="shared" si="16"/>
        <v>27</v>
      </c>
      <c r="AE378">
        <f t="shared" si="17"/>
        <v>2024</v>
      </c>
      <c r="AG378" s="19">
        <v>45470</v>
      </c>
    </row>
    <row r="379" spans="1:33" x14ac:dyDescent="0.25">
      <c r="A379" s="25">
        <v>10378</v>
      </c>
      <c r="B379" t="s">
        <v>397</v>
      </c>
      <c r="C379" t="s">
        <v>397</v>
      </c>
      <c r="D379" s="27" t="s">
        <v>497</v>
      </c>
      <c r="E379" s="27">
        <v>1</v>
      </c>
      <c r="F379" s="56"/>
      <c r="G379" s="56"/>
      <c r="H379" t="s">
        <v>18</v>
      </c>
      <c r="I379" t="s">
        <v>8</v>
      </c>
      <c r="J379">
        <v>2.1700000000000001E-2</v>
      </c>
      <c r="K379">
        <v>1.2789999999999999</v>
      </c>
      <c r="L379">
        <v>0.27300000000000002</v>
      </c>
      <c r="N379">
        <v>0.74295880086724564</v>
      </c>
      <c r="O379">
        <v>9.7166666666666668</v>
      </c>
      <c r="P379">
        <v>6.1333333333333329</v>
      </c>
      <c r="Q379" s="27">
        <v>3.2570382655124992</v>
      </c>
      <c r="R379" s="27">
        <v>1.1785196095460655</v>
      </c>
      <c r="S379" s="27">
        <v>195.71600000000001</v>
      </c>
      <c r="T379" s="27">
        <v>301.577</v>
      </c>
      <c r="U379" s="27">
        <v>402.69900000000001</v>
      </c>
      <c r="V379" s="27">
        <v>428.63299999999998</v>
      </c>
      <c r="W379" s="27">
        <v>400.27100000000002</v>
      </c>
      <c r="X379" s="27">
        <v>373.32400000000001</v>
      </c>
      <c r="Y379" s="27">
        <v>480.73399999999998</v>
      </c>
      <c r="Z379" s="27">
        <v>630.78300000000002</v>
      </c>
      <c r="AC379">
        <f t="shared" si="15"/>
        <v>7</v>
      </c>
      <c r="AD379">
        <f t="shared" si="16"/>
        <v>1</v>
      </c>
      <c r="AE379">
        <f t="shared" si="17"/>
        <v>2024</v>
      </c>
      <c r="AG379" s="19">
        <v>45474</v>
      </c>
    </row>
    <row r="380" spans="1:33" x14ac:dyDescent="0.25">
      <c r="A380" s="25">
        <v>10379</v>
      </c>
      <c r="B380" t="s">
        <v>398</v>
      </c>
      <c r="C380" t="s">
        <v>398</v>
      </c>
      <c r="D380" s="27" t="s">
        <v>498</v>
      </c>
      <c r="E380" s="27">
        <v>5</v>
      </c>
      <c r="F380" s="56"/>
      <c r="G380" s="56"/>
      <c r="H380" t="s">
        <v>18</v>
      </c>
      <c r="I380" t="s">
        <v>8</v>
      </c>
      <c r="J380">
        <v>-5.8200000000000002E-2</v>
      </c>
      <c r="K380">
        <v>2.6379999999999999</v>
      </c>
      <c r="L380">
        <v>0.19500000000000001</v>
      </c>
      <c r="N380">
        <v>0.59651149987262886</v>
      </c>
      <c r="O380">
        <v>10.56</v>
      </c>
      <c r="P380">
        <v>5.416666666666667</v>
      </c>
      <c r="Q380" s="27">
        <v>3.8910889086643481</v>
      </c>
      <c r="R380" s="27">
        <v>2.2181287165218424</v>
      </c>
      <c r="S380" s="27">
        <v>85.571700000000007</v>
      </c>
      <c r="T380" s="27">
        <v>135.578</v>
      </c>
      <c r="U380" s="27">
        <v>231.28</v>
      </c>
      <c r="V380" s="27">
        <v>264.63099999999997</v>
      </c>
      <c r="W380" s="27">
        <v>241.84399999999999</v>
      </c>
      <c r="X380" s="27">
        <v>195.512</v>
      </c>
      <c r="Y380" s="27">
        <v>286.32499999999999</v>
      </c>
      <c r="Z380" s="27">
        <v>448.17700000000002</v>
      </c>
      <c r="AC380">
        <f t="shared" si="15"/>
        <v>7</v>
      </c>
      <c r="AD380">
        <f t="shared" si="16"/>
        <v>1</v>
      </c>
      <c r="AE380">
        <f t="shared" si="17"/>
        <v>2024</v>
      </c>
      <c r="AG380" s="19">
        <v>45474</v>
      </c>
    </row>
    <row r="381" spans="1:33" x14ac:dyDescent="0.25">
      <c r="A381" s="25">
        <v>10380</v>
      </c>
      <c r="B381" t="s">
        <v>399</v>
      </c>
      <c r="C381" t="s">
        <v>399</v>
      </c>
      <c r="D381" s="27" t="s">
        <v>477</v>
      </c>
      <c r="E381" s="27">
        <v>6</v>
      </c>
      <c r="F381" s="56"/>
      <c r="G381" s="56"/>
      <c r="H381" t="s">
        <v>18</v>
      </c>
      <c r="I381" t="s">
        <v>8</v>
      </c>
      <c r="J381">
        <v>-4.99E-2</v>
      </c>
      <c r="K381">
        <v>4.4740000000000002</v>
      </c>
      <c r="L381">
        <v>0.28499999999999998</v>
      </c>
      <c r="N381">
        <v>0.60246254113904973</v>
      </c>
      <c r="O381">
        <v>0.57999999999999996</v>
      </c>
      <c r="P381">
        <v>1.1533333333333333</v>
      </c>
      <c r="Q381" s="27">
        <v>3.763166410484589</v>
      </c>
      <c r="R381" s="27">
        <v>3.1356563969214655</v>
      </c>
      <c r="S381" s="27">
        <v>186.167</v>
      </c>
      <c r="T381" s="27">
        <v>281.166</v>
      </c>
      <c r="U381" s="27">
        <v>352.06299999999999</v>
      </c>
      <c r="V381" s="27">
        <v>386.35899999999998</v>
      </c>
      <c r="W381" s="27">
        <v>365.13400000000001</v>
      </c>
      <c r="X381" s="27">
        <v>370.92899999999997</v>
      </c>
      <c r="Y381" s="27">
        <v>353.03500000000003</v>
      </c>
      <c r="Z381" s="27">
        <v>581.73299999999995</v>
      </c>
      <c r="AC381">
        <f t="shared" si="15"/>
        <v>7</v>
      </c>
      <c r="AD381">
        <f t="shared" si="16"/>
        <v>1</v>
      </c>
      <c r="AE381">
        <f t="shared" si="17"/>
        <v>2024</v>
      </c>
      <c r="AG381" s="19">
        <v>45474</v>
      </c>
    </row>
    <row r="382" spans="1:33" x14ac:dyDescent="0.25">
      <c r="A382" s="25">
        <v>10381</v>
      </c>
      <c r="B382" t="s">
        <v>400</v>
      </c>
      <c r="C382" t="s">
        <v>400</v>
      </c>
      <c r="D382" s="27" t="s">
        <v>478</v>
      </c>
      <c r="E382" s="27">
        <v>8</v>
      </c>
      <c r="F382" s="56"/>
      <c r="G382" s="56"/>
      <c r="H382" t="s">
        <v>18</v>
      </c>
      <c r="I382" t="s">
        <v>8</v>
      </c>
      <c r="J382">
        <v>-4.24E-2</v>
      </c>
      <c r="K382">
        <v>5.1639999999999997</v>
      </c>
      <c r="L382">
        <v>0.20200000000000001</v>
      </c>
      <c r="N382">
        <v>0.44388122881878833</v>
      </c>
      <c r="O382">
        <v>1.8266666666666669</v>
      </c>
      <c r="P382">
        <v>1.1433333333333333</v>
      </c>
      <c r="Q382" s="27">
        <v>4.8537941914084621</v>
      </c>
      <c r="R382" s="27">
        <v>4.4002585462648653</v>
      </c>
      <c r="S382" s="27">
        <v>215.15100000000001</v>
      </c>
      <c r="T382" s="27">
        <v>296.26799999999997</v>
      </c>
      <c r="U382" s="27">
        <v>378.29899999999998</v>
      </c>
      <c r="V382" s="27">
        <v>415.85899999999998</v>
      </c>
      <c r="W382" s="27">
        <v>397.23700000000002</v>
      </c>
      <c r="X382" s="27">
        <v>387.19400000000002</v>
      </c>
      <c r="Y382" s="27">
        <v>366.08699999999999</v>
      </c>
      <c r="Z382" s="27">
        <v>548.22</v>
      </c>
      <c r="AC382">
        <f t="shared" si="15"/>
        <v>7</v>
      </c>
      <c r="AD382">
        <f t="shared" si="16"/>
        <v>1</v>
      </c>
      <c r="AE382">
        <f t="shared" si="17"/>
        <v>2024</v>
      </c>
      <c r="AG382" s="19">
        <v>45474</v>
      </c>
    </row>
    <row r="383" spans="1:33" x14ac:dyDescent="0.25">
      <c r="A383" s="25">
        <v>10382</v>
      </c>
      <c r="B383" t="s">
        <v>401</v>
      </c>
      <c r="C383" t="s">
        <v>401</v>
      </c>
      <c r="D383" s="27" t="s">
        <v>479</v>
      </c>
      <c r="E383" s="27">
        <v>9</v>
      </c>
      <c r="F383" s="56"/>
      <c r="G383" s="56"/>
      <c r="H383" t="s">
        <v>18</v>
      </c>
      <c r="I383" t="s">
        <v>8</v>
      </c>
      <c r="J383">
        <v>-5.0200000000000002E-2</v>
      </c>
      <c r="K383">
        <v>4.0819999999999999</v>
      </c>
      <c r="L383">
        <v>0.19500000000000001</v>
      </c>
      <c r="N383">
        <v>0.60827851725952864</v>
      </c>
      <c r="O383">
        <v>9.4500000000000011</v>
      </c>
      <c r="P383">
        <v>9.5533333333333328</v>
      </c>
      <c r="Q383" s="27">
        <v>4.144405792411618</v>
      </c>
      <c r="R383" s="27">
        <v>2.3422952804114181</v>
      </c>
      <c r="S383" s="27">
        <v>103.834</v>
      </c>
      <c r="T383" s="27">
        <v>162.464</v>
      </c>
      <c r="U383" s="27">
        <v>246.04599999999999</v>
      </c>
      <c r="V383" s="27">
        <v>278.06700000000001</v>
      </c>
      <c r="W383" s="27">
        <v>271.06</v>
      </c>
      <c r="X383" s="27">
        <v>238.23</v>
      </c>
      <c r="Y383" s="27">
        <v>307.75400000000002</v>
      </c>
      <c r="Z383" s="27">
        <v>527.72500000000002</v>
      </c>
      <c r="AC383">
        <f t="shared" si="15"/>
        <v>7</v>
      </c>
      <c r="AD383">
        <f t="shared" si="16"/>
        <v>1</v>
      </c>
      <c r="AE383">
        <f t="shared" si="17"/>
        <v>2024</v>
      </c>
      <c r="AG383" s="19">
        <v>45474</v>
      </c>
    </row>
    <row r="384" spans="1:33" x14ac:dyDescent="0.25">
      <c r="A384" s="25">
        <v>10383</v>
      </c>
      <c r="B384" t="s">
        <v>402</v>
      </c>
      <c r="C384" t="s">
        <v>402</v>
      </c>
      <c r="D384" s="27" t="s">
        <v>480</v>
      </c>
      <c r="E384" s="27">
        <v>10</v>
      </c>
      <c r="F384" s="56"/>
      <c r="G384" s="56"/>
      <c r="H384" t="s">
        <v>18</v>
      </c>
      <c r="I384" t="s">
        <v>8</v>
      </c>
      <c r="J384">
        <v>-4.0899999999999999E-2</v>
      </c>
      <c r="K384">
        <v>4.9169999999999998</v>
      </c>
      <c r="L384">
        <v>0.17899999999999999</v>
      </c>
      <c r="N384">
        <v>0.47556762570749589</v>
      </c>
      <c r="O384">
        <v>1.5433333333333332</v>
      </c>
      <c r="P384">
        <v>2.0533333333333332</v>
      </c>
      <c r="Q384" s="27">
        <v>4.0538993608931317</v>
      </c>
      <c r="R384" s="27">
        <v>4.0013246944614664</v>
      </c>
      <c r="S384" s="27">
        <v>187.87299999999999</v>
      </c>
      <c r="T384" s="27">
        <v>281.20400000000001</v>
      </c>
      <c r="U384" s="27">
        <v>355.51299999999998</v>
      </c>
      <c r="V384" s="27">
        <v>382.827</v>
      </c>
      <c r="W384" s="27">
        <v>368.95499999999998</v>
      </c>
      <c r="X384" s="27">
        <v>361.84</v>
      </c>
      <c r="Y384" s="27">
        <v>346.42700000000002</v>
      </c>
      <c r="Z384" s="27">
        <v>472.57299999999998</v>
      </c>
      <c r="AC384">
        <f t="shared" si="15"/>
        <v>7</v>
      </c>
      <c r="AD384">
        <f t="shared" si="16"/>
        <v>1</v>
      </c>
      <c r="AE384">
        <f t="shared" si="17"/>
        <v>2024</v>
      </c>
      <c r="AG384" s="19">
        <v>45474</v>
      </c>
    </row>
    <row r="385" spans="1:33" x14ac:dyDescent="0.25">
      <c r="A385" s="25">
        <v>10384</v>
      </c>
      <c r="B385" t="s">
        <v>403</v>
      </c>
      <c r="C385" t="s">
        <v>403</v>
      </c>
      <c r="D385" s="27" t="s">
        <v>481</v>
      </c>
      <c r="E385" s="27">
        <v>11</v>
      </c>
      <c r="F385" s="56"/>
      <c r="G385" s="56"/>
      <c r="H385" t="s">
        <v>18</v>
      </c>
      <c r="I385" t="s">
        <v>8</v>
      </c>
      <c r="J385">
        <v>-6.3100000000000003E-2</v>
      </c>
      <c r="K385">
        <v>4.0279999999999996</v>
      </c>
      <c r="L385">
        <v>0.21199999999999999</v>
      </c>
      <c r="N385">
        <v>0.50983272905435539</v>
      </c>
      <c r="O385">
        <v>18.516666666666666</v>
      </c>
      <c r="P385">
        <v>12.319999999999999</v>
      </c>
      <c r="Q385" s="27">
        <v>5.0636275382250631</v>
      </c>
      <c r="R385" s="27">
        <v>2.6683838512330134</v>
      </c>
      <c r="S385" s="27">
        <v>127.538</v>
      </c>
      <c r="T385" s="27">
        <v>183.20400000000001</v>
      </c>
      <c r="U385" s="27">
        <v>259.88</v>
      </c>
      <c r="V385" s="27">
        <v>285.40499999999997</v>
      </c>
      <c r="W385" s="27">
        <v>269.34100000000001</v>
      </c>
      <c r="X385" s="27">
        <v>257.36099999999999</v>
      </c>
      <c r="Y385" s="27">
        <v>297.18700000000001</v>
      </c>
      <c r="Z385" s="27">
        <v>466.63900000000001</v>
      </c>
      <c r="AC385">
        <f t="shared" si="15"/>
        <v>7</v>
      </c>
      <c r="AD385">
        <f t="shared" si="16"/>
        <v>1</v>
      </c>
      <c r="AE385">
        <f t="shared" si="17"/>
        <v>2024</v>
      </c>
      <c r="AG385" s="19">
        <v>45474</v>
      </c>
    </row>
    <row r="386" spans="1:33" x14ac:dyDescent="0.25">
      <c r="A386" s="25">
        <v>10385</v>
      </c>
      <c r="B386" t="s">
        <v>404</v>
      </c>
      <c r="C386" t="s">
        <v>404</v>
      </c>
      <c r="D386" s="27" t="s">
        <v>482</v>
      </c>
      <c r="E386" s="27">
        <v>12</v>
      </c>
      <c r="F386" s="56"/>
      <c r="G386" s="56"/>
      <c r="H386" t="s">
        <v>18</v>
      </c>
      <c r="I386" t="s">
        <v>8</v>
      </c>
      <c r="J386">
        <v>-6.0299999999999999E-2</v>
      </c>
      <c r="K386">
        <v>4.9180000000000001</v>
      </c>
      <c r="L386">
        <v>0.34</v>
      </c>
      <c r="N386">
        <v>0.45757771565448979</v>
      </c>
      <c r="O386">
        <v>10.733333333333334</v>
      </c>
      <c r="P386">
        <v>11.993333333333334</v>
      </c>
      <c r="Q386" s="27">
        <v>5.2412695844457033</v>
      </c>
      <c r="R386" s="27">
        <v>3.9342639879620585</v>
      </c>
      <c r="S386" s="27">
        <v>121.176</v>
      </c>
      <c r="T386" s="27">
        <v>166.46799999999999</v>
      </c>
      <c r="U386" s="27">
        <v>245.40199999999999</v>
      </c>
      <c r="V386" s="27">
        <v>272.774</v>
      </c>
      <c r="W386" s="27">
        <v>255.06800000000001</v>
      </c>
      <c r="X386" s="27">
        <v>232.709</v>
      </c>
      <c r="Y386" s="27">
        <v>269.12200000000001</v>
      </c>
      <c r="Z386" s="27">
        <v>408.346</v>
      </c>
      <c r="AC386">
        <f t="shared" si="15"/>
        <v>7</v>
      </c>
      <c r="AD386">
        <f t="shared" si="16"/>
        <v>1</v>
      </c>
      <c r="AE386">
        <f t="shared" si="17"/>
        <v>2024</v>
      </c>
      <c r="AG386" s="19">
        <v>45474</v>
      </c>
    </row>
    <row r="387" spans="1:33" x14ac:dyDescent="0.25">
      <c r="A387" s="25">
        <v>10386</v>
      </c>
      <c r="B387" t="s">
        <v>405</v>
      </c>
      <c r="C387" t="s">
        <v>405</v>
      </c>
      <c r="D387" s="27" t="s">
        <v>483</v>
      </c>
      <c r="E387" s="27">
        <v>14</v>
      </c>
      <c r="F387" s="56"/>
      <c r="G387" s="56"/>
      <c r="H387" t="s">
        <v>18</v>
      </c>
      <c r="I387" t="s">
        <v>8</v>
      </c>
      <c r="J387">
        <v>-4.9099999999999998E-2</v>
      </c>
      <c r="K387">
        <v>4.7300000000000004</v>
      </c>
      <c r="L387">
        <v>0.253</v>
      </c>
      <c r="N387">
        <v>0.76773116934302532</v>
      </c>
      <c r="O387">
        <v>0.51333333333333331</v>
      </c>
      <c r="P387">
        <v>0.92</v>
      </c>
      <c r="Q387" s="27">
        <v>4.0372138176522938</v>
      </c>
      <c r="R387" s="27">
        <v>3.6502144758788089</v>
      </c>
      <c r="S387" s="27">
        <v>226.84899999999999</v>
      </c>
      <c r="T387" s="27">
        <v>341.63600000000002</v>
      </c>
      <c r="U387" s="27">
        <v>426.637</v>
      </c>
      <c r="V387" s="27">
        <v>459.41300000000001</v>
      </c>
      <c r="W387" s="27">
        <v>443.16199999999998</v>
      </c>
      <c r="X387" s="27">
        <v>447.13</v>
      </c>
      <c r="Y387" s="27">
        <v>422.68299999999999</v>
      </c>
      <c r="Z387" s="27">
        <v>597.37900000000002</v>
      </c>
      <c r="AC387">
        <f t="shared" si="15"/>
        <v>7</v>
      </c>
      <c r="AD387">
        <f t="shared" si="16"/>
        <v>1</v>
      </c>
      <c r="AE387">
        <f t="shared" si="17"/>
        <v>2024</v>
      </c>
      <c r="AG387" s="19">
        <v>45474</v>
      </c>
    </row>
    <row r="388" spans="1:33" x14ac:dyDescent="0.25">
      <c r="A388" s="25">
        <v>10387</v>
      </c>
      <c r="B388" t="s">
        <v>406</v>
      </c>
      <c r="C388" t="s">
        <v>406</v>
      </c>
      <c r="D388" s="27" t="s">
        <v>484</v>
      </c>
      <c r="E388" s="27">
        <v>15</v>
      </c>
      <c r="F388" s="56"/>
      <c r="G388" s="56"/>
      <c r="H388" t="s">
        <v>18</v>
      </c>
      <c r="I388" t="s">
        <v>8</v>
      </c>
      <c r="J388">
        <v>-4.0899999999999999E-2</v>
      </c>
      <c r="K388">
        <v>5.3150000000000004</v>
      </c>
      <c r="L388">
        <v>0.19700000000000001</v>
      </c>
      <c r="N388">
        <v>0.63932817814465104</v>
      </c>
      <c r="O388">
        <v>4.7633333333333328</v>
      </c>
      <c r="P388">
        <v>3.1733333333333333</v>
      </c>
      <c r="Q388" s="27">
        <v>4.6271067605102081</v>
      </c>
      <c r="R388" s="27">
        <v>4.6888146454448654</v>
      </c>
      <c r="S388" s="27">
        <v>317.77199999999999</v>
      </c>
      <c r="T388" s="27">
        <v>460.12299999999999</v>
      </c>
      <c r="U388" s="27">
        <v>536.90200000000004</v>
      </c>
      <c r="V388" s="27">
        <v>578.19899999999996</v>
      </c>
      <c r="W388" s="27">
        <v>553.40599999999995</v>
      </c>
      <c r="X388" s="27">
        <v>568.94600000000003</v>
      </c>
      <c r="Y388" s="27">
        <v>536.82100000000003</v>
      </c>
      <c r="Z388" s="27">
        <v>654.67899999999997</v>
      </c>
      <c r="AC388">
        <f t="shared" si="15"/>
        <v>7</v>
      </c>
      <c r="AD388">
        <f t="shared" si="16"/>
        <v>1</v>
      </c>
      <c r="AE388">
        <f t="shared" si="17"/>
        <v>2024</v>
      </c>
      <c r="AG388" s="19">
        <v>45474</v>
      </c>
    </row>
    <row r="389" spans="1:33" x14ac:dyDescent="0.25">
      <c r="A389" s="25">
        <v>10388</v>
      </c>
      <c r="B389" t="s">
        <v>407</v>
      </c>
      <c r="C389" t="s">
        <v>407</v>
      </c>
      <c r="D389" s="27" t="s">
        <v>499</v>
      </c>
      <c r="E389" s="27">
        <v>9</v>
      </c>
      <c r="F389" s="56"/>
      <c r="G389" s="56"/>
      <c r="H389" t="s">
        <v>17</v>
      </c>
      <c r="I389" t="s">
        <v>9</v>
      </c>
      <c r="J389">
        <v>1.95E-2</v>
      </c>
      <c r="K389">
        <v>5.14</v>
      </c>
      <c r="L389">
        <v>0.30299999999999999</v>
      </c>
      <c r="N389">
        <v>0.34504367758120047</v>
      </c>
      <c r="O389">
        <v>3.6833333333333336</v>
      </c>
      <c r="P389">
        <v>4.9200000000000008</v>
      </c>
      <c r="Q389">
        <v>3.0253931676906278</v>
      </c>
      <c r="R389">
        <v>2.2658426171529622</v>
      </c>
      <c r="AC389">
        <f t="shared" si="15"/>
        <v>7</v>
      </c>
      <c r="AD389">
        <f t="shared" si="16"/>
        <v>11</v>
      </c>
      <c r="AE389">
        <f t="shared" si="17"/>
        <v>2024</v>
      </c>
      <c r="AG389" s="19">
        <v>45484</v>
      </c>
    </row>
    <row r="390" spans="1:33" x14ac:dyDescent="0.25">
      <c r="A390" s="25">
        <v>10389</v>
      </c>
      <c r="B390" t="s">
        <v>408</v>
      </c>
      <c r="C390" t="s">
        <v>408</v>
      </c>
      <c r="D390" s="27" t="s">
        <v>500</v>
      </c>
      <c r="E390" s="27">
        <v>10</v>
      </c>
      <c r="F390" s="56"/>
      <c r="G390" s="56"/>
      <c r="H390" t="s">
        <v>17</v>
      </c>
      <c r="I390" t="s">
        <v>9</v>
      </c>
      <c r="J390">
        <v>4.5699999999999998E-2</v>
      </c>
      <c r="K390">
        <v>5.8310000000000004</v>
      </c>
      <c r="L390">
        <v>0.314</v>
      </c>
      <c r="N390">
        <v>0.33197983238835527</v>
      </c>
      <c r="O390">
        <v>6.5166666666666666</v>
      </c>
      <c r="P390">
        <v>10.293333333333335</v>
      </c>
      <c r="Q390">
        <v>3.2255142175350122</v>
      </c>
      <c r="R390">
        <v>3.6035968169761272</v>
      </c>
      <c r="AC390">
        <f t="shared" si="15"/>
        <v>7</v>
      </c>
      <c r="AD390">
        <f t="shared" si="16"/>
        <v>11</v>
      </c>
      <c r="AE390">
        <f t="shared" si="17"/>
        <v>2024</v>
      </c>
      <c r="AG390" s="19">
        <v>45484</v>
      </c>
    </row>
    <row r="391" spans="1:33" x14ac:dyDescent="0.25">
      <c r="A391" s="25">
        <v>10390</v>
      </c>
      <c r="B391" t="s">
        <v>409</v>
      </c>
      <c r="C391" t="s">
        <v>409</v>
      </c>
      <c r="D391" s="27" t="s">
        <v>501</v>
      </c>
      <c r="E391" s="27">
        <v>11</v>
      </c>
      <c r="F391" s="56"/>
      <c r="G391" s="56"/>
      <c r="H391" t="s">
        <v>17</v>
      </c>
      <c r="I391" t="s">
        <v>9</v>
      </c>
      <c r="J391">
        <v>2.5600000000000001E-2</v>
      </c>
      <c r="K391">
        <v>5.875</v>
      </c>
      <c r="L391">
        <v>0.30199999999999999</v>
      </c>
      <c r="N391">
        <v>0.37335709165273034</v>
      </c>
      <c r="O391">
        <v>5.6366666666666667</v>
      </c>
      <c r="P391">
        <v>7.286666666666668</v>
      </c>
      <c r="Q391">
        <v>11.753789710513725</v>
      </c>
      <c r="R391">
        <v>1.5968634972454605</v>
      </c>
      <c r="AC391">
        <f t="shared" si="15"/>
        <v>7</v>
      </c>
      <c r="AD391">
        <f t="shared" si="16"/>
        <v>11</v>
      </c>
      <c r="AE391">
        <f t="shared" si="17"/>
        <v>2024</v>
      </c>
      <c r="AG391" s="19">
        <v>45484</v>
      </c>
    </row>
    <row r="392" spans="1:33" x14ac:dyDescent="0.25">
      <c r="A392" s="25">
        <v>10391</v>
      </c>
      <c r="B392" t="s">
        <v>410</v>
      </c>
      <c r="C392" t="s">
        <v>410</v>
      </c>
      <c r="D392" s="27" t="s">
        <v>502</v>
      </c>
      <c r="E392" s="27">
        <v>12</v>
      </c>
      <c r="F392" s="56"/>
      <c r="G392" s="56"/>
      <c r="H392" t="s">
        <v>17</v>
      </c>
      <c r="I392" t="s">
        <v>9</v>
      </c>
      <c r="J392">
        <v>0.12230000000000001</v>
      </c>
      <c r="K392">
        <v>3.33</v>
      </c>
      <c r="L392">
        <v>0.28399999999999997</v>
      </c>
      <c r="N392">
        <v>0.46692141347924859</v>
      </c>
      <c r="O392">
        <v>10.936666666666667</v>
      </c>
      <c r="P392">
        <v>9.2466666666666661</v>
      </c>
      <c r="Q392" s="112">
        <v>299.14840908443529</v>
      </c>
      <c r="R392">
        <v>3.3624215466231382</v>
      </c>
      <c r="AC392">
        <f t="shared" si="15"/>
        <v>7</v>
      </c>
      <c r="AD392">
        <f t="shared" si="16"/>
        <v>11</v>
      </c>
      <c r="AE392">
        <f t="shared" si="17"/>
        <v>2024</v>
      </c>
      <c r="AG392" s="19">
        <v>45484</v>
      </c>
    </row>
    <row r="393" spans="1:33" x14ac:dyDescent="0.25">
      <c r="A393" s="25">
        <v>10392</v>
      </c>
      <c r="B393" t="s">
        <v>411</v>
      </c>
      <c r="C393" t="s">
        <v>411</v>
      </c>
      <c r="D393" s="27" t="s">
        <v>498</v>
      </c>
      <c r="E393" s="27">
        <v>5</v>
      </c>
      <c r="F393" s="56"/>
      <c r="G393" s="56"/>
      <c r="H393" t="s">
        <v>18</v>
      </c>
      <c r="I393" t="s">
        <v>8</v>
      </c>
      <c r="J393">
        <v>0.1135</v>
      </c>
      <c r="K393">
        <v>5.5880000000000001</v>
      </c>
      <c r="L393">
        <v>0.34399999999999997</v>
      </c>
      <c r="N393">
        <v>0.43651461146073567</v>
      </c>
      <c r="O393">
        <v>5.3049999999999997</v>
      </c>
      <c r="P393">
        <v>10.309999999999999</v>
      </c>
      <c r="Q393" s="27">
        <v>3.9984494242644879</v>
      </c>
      <c r="R393" s="27">
        <v>3.0698736778077036</v>
      </c>
      <c r="S393" s="27">
        <v>349.87099999999998</v>
      </c>
      <c r="T393" s="27">
        <v>390.93400000000003</v>
      </c>
      <c r="U393" s="27">
        <v>379.166</v>
      </c>
      <c r="V393" s="27">
        <v>382.06200000000001</v>
      </c>
      <c r="W393" s="27">
        <v>386.79</v>
      </c>
      <c r="X393" s="27">
        <v>372.00799999999998</v>
      </c>
      <c r="Y393" s="27">
        <v>383.84100000000001</v>
      </c>
      <c r="Z393" s="27">
        <v>647.30499999999995</v>
      </c>
      <c r="AC393">
        <f t="shared" si="15"/>
        <v>7</v>
      </c>
      <c r="AD393">
        <f t="shared" si="16"/>
        <v>17</v>
      </c>
      <c r="AE393">
        <f t="shared" si="17"/>
        <v>2024</v>
      </c>
      <c r="AG393" s="19">
        <v>45490</v>
      </c>
    </row>
    <row r="394" spans="1:33" x14ac:dyDescent="0.25">
      <c r="A394" s="25">
        <v>10393</v>
      </c>
      <c r="B394" t="s">
        <v>412</v>
      </c>
      <c r="C394" t="s">
        <v>412</v>
      </c>
      <c r="D394" s="27" t="s">
        <v>477</v>
      </c>
      <c r="E394" s="27">
        <v>6</v>
      </c>
      <c r="F394" s="56"/>
      <c r="G394" s="56"/>
      <c r="H394" t="s">
        <v>18</v>
      </c>
      <c r="I394" t="s">
        <v>8</v>
      </c>
      <c r="J394">
        <v>4.0399999999999998E-2</v>
      </c>
      <c r="K394">
        <v>5.1269999999999998</v>
      </c>
      <c r="L394">
        <v>0.27200000000000002</v>
      </c>
      <c r="N394">
        <v>0.52367660752160261</v>
      </c>
      <c r="O394">
        <v>2.2925</v>
      </c>
      <c r="P394">
        <v>6.9524999999999997</v>
      </c>
      <c r="Q394" s="27">
        <v>6.2149300218428944</v>
      </c>
      <c r="R394" s="27">
        <v>3.1854979049616476</v>
      </c>
      <c r="S394" s="27">
        <v>419.40899999999999</v>
      </c>
      <c r="T394" s="27">
        <v>447.709</v>
      </c>
      <c r="U394" s="27">
        <v>446.31799999999998</v>
      </c>
      <c r="V394" s="27">
        <v>448.16800000000001</v>
      </c>
      <c r="W394" s="27">
        <v>462.43299999999999</v>
      </c>
      <c r="X394" s="27">
        <v>452.48500000000001</v>
      </c>
      <c r="Y394" s="27">
        <v>461.61700000000002</v>
      </c>
      <c r="Z394" s="27">
        <v>706.16499999999996</v>
      </c>
      <c r="AC394">
        <f t="shared" si="15"/>
        <v>7</v>
      </c>
      <c r="AD394">
        <f t="shared" si="16"/>
        <v>17</v>
      </c>
      <c r="AE394">
        <f t="shared" si="17"/>
        <v>2024</v>
      </c>
      <c r="AG394" s="19">
        <v>45490</v>
      </c>
    </row>
    <row r="395" spans="1:33" x14ac:dyDescent="0.25">
      <c r="A395" s="25">
        <v>10394</v>
      </c>
      <c r="B395" s="28" t="s">
        <v>413</v>
      </c>
      <c r="C395" s="23" t="s">
        <v>413</v>
      </c>
      <c r="D395" s="60" t="s">
        <v>478</v>
      </c>
      <c r="E395" s="60">
        <v>8</v>
      </c>
      <c r="F395" s="56"/>
      <c r="G395" s="56"/>
      <c r="H395" s="23" t="s">
        <v>18</v>
      </c>
      <c r="I395" s="23" t="s">
        <v>8</v>
      </c>
      <c r="J395">
        <v>0.1348</v>
      </c>
      <c r="K395">
        <v>4.585</v>
      </c>
      <c r="L395">
        <v>-1.7000000000000001E-2</v>
      </c>
      <c r="N395">
        <v>0.40507670352516922</v>
      </c>
      <c r="O395">
        <v>3.063333333333333</v>
      </c>
      <c r="P395">
        <v>24.806666666666661</v>
      </c>
      <c r="Q395" s="27">
        <v>5.8438030903648581</v>
      </c>
      <c r="R395" s="27">
        <v>3.6697878616273822</v>
      </c>
      <c r="S395" s="27">
        <v>308.56599999999997</v>
      </c>
      <c r="T395" s="27">
        <v>317.65699999999998</v>
      </c>
      <c r="U395" s="27">
        <v>320.23399999999998</v>
      </c>
      <c r="V395" s="27">
        <v>323.79700000000003</v>
      </c>
      <c r="W395" s="27">
        <v>343.15499999999997</v>
      </c>
      <c r="X395" s="27">
        <v>337.69</v>
      </c>
      <c r="Y395" s="27">
        <v>352.17500000000001</v>
      </c>
      <c r="Z395" s="27">
        <v>595.47400000000005</v>
      </c>
      <c r="AC395">
        <f t="shared" si="15"/>
        <v>7</v>
      </c>
      <c r="AD395">
        <f t="shared" si="16"/>
        <v>17</v>
      </c>
      <c r="AE395">
        <f t="shared" si="17"/>
        <v>2024</v>
      </c>
      <c r="AG395" s="19">
        <v>45490</v>
      </c>
    </row>
    <row r="396" spans="1:33" x14ac:dyDescent="0.25">
      <c r="A396" s="25">
        <v>10395</v>
      </c>
      <c r="B396" s="23" t="s">
        <v>414</v>
      </c>
      <c r="C396" s="23" t="s">
        <v>414</v>
      </c>
      <c r="D396" s="60" t="s">
        <v>479</v>
      </c>
      <c r="E396" s="60">
        <v>9</v>
      </c>
      <c r="F396" s="56"/>
      <c r="G396" s="56"/>
      <c r="H396" s="23" t="s">
        <v>18</v>
      </c>
      <c r="I396" s="23" t="s">
        <v>8</v>
      </c>
      <c r="J396">
        <v>5.9999999999999995E-4</v>
      </c>
      <c r="K396">
        <v>4.6360000000000001</v>
      </c>
      <c r="L396">
        <v>0.35599999999999998</v>
      </c>
      <c r="M396" s="23"/>
      <c r="N396">
        <v>0.33265756285629511</v>
      </c>
      <c r="O396">
        <v>69.94</v>
      </c>
      <c r="P396">
        <v>134.56333333333333</v>
      </c>
      <c r="Q396" s="27">
        <v>5.237561685947739</v>
      </c>
      <c r="R396" s="27">
        <v>3.0850077389535073</v>
      </c>
      <c r="S396" s="27">
        <v>366.36799999999999</v>
      </c>
      <c r="T396" s="27">
        <v>371.09300000000002</v>
      </c>
      <c r="U396" s="27">
        <v>369.50299999999999</v>
      </c>
      <c r="V396" s="27">
        <v>378.36500000000001</v>
      </c>
      <c r="W396" s="27">
        <v>394.61200000000002</v>
      </c>
      <c r="X396" s="27">
        <v>384.64600000000002</v>
      </c>
      <c r="Y396" s="27">
        <v>396.66699999999997</v>
      </c>
      <c r="Z396" s="27">
        <v>624.755</v>
      </c>
      <c r="AC396">
        <f t="shared" ref="AC396:AC427" si="18">MONTH(AG396)</f>
        <v>7</v>
      </c>
      <c r="AD396">
        <f t="shared" ref="AD396:AD427" si="19">DAY(AG396)</f>
        <v>17</v>
      </c>
      <c r="AE396">
        <f t="shared" ref="AE396:AE427" si="20">YEAR(AG396)</f>
        <v>2024</v>
      </c>
      <c r="AG396" s="19">
        <v>45490</v>
      </c>
    </row>
    <row r="397" spans="1:33" x14ac:dyDescent="0.25">
      <c r="A397" s="25">
        <v>10396</v>
      </c>
      <c r="B397" t="s">
        <v>415</v>
      </c>
      <c r="C397" t="s">
        <v>415</v>
      </c>
      <c r="D397" s="27" t="s">
        <v>480</v>
      </c>
      <c r="E397" s="27">
        <v>10</v>
      </c>
      <c r="F397" s="56"/>
      <c r="G397" s="56"/>
      <c r="H397" t="s">
        <v>18</v>
      </c>
      <c r="I397" t="s">
        <v>8</v>
      </c>
      <c r="J397">
        <v>4.0800000000000003E-2</v>
      </c>
      <c r="K397">
        <v>4.2130000000000001</v>
      </c>
      <c r="L397">
        <v>0.217</v>
      </c>
      <c r="N397">
        <v>0.35589167553658685</v>
      </c>
      <c r="O397">
        <v>3.5233333333333334</v>
      </c>
      <c r="P397">
        <v>14.166666666666666</v>
      </c>
      <c r="Q397" s="27">
        <v>6.5299328533290186</v>
      </c>
      <c r="R397" s="27">
        <v>3.4080694975459416</v>
      </c>
      <c r="S397" s="27">
        <v>341.911</v>
      </c>
      <c r="T397" s="27">
        <v>353.46600000000001</v>
      </c>
      <c r="U397" s="27">
        <v>329.62599999999998</v>
      </c>
      <c r="V397" s="27">
        <v>325.32600000000002</v>
      </c>
      <c r="W397" s="27">
        <v>327.97500000000002</v>
      </c>
      <c r="X397" s="27">
        <v>304.053</v>
      </c>
      <c r="Y397" s="27">
        <v>331.84199999999998</v>
      </c>
      <c r="Z397" s="27">
        <v>627.87599999999998</v>
      </c>
      <c r="AC397">
        <f t="shared" si="18"/>
        <v>7</v>
      </c>
      <c r="AD397">
        <f t="shared" si="19"/>
        <v>17</v>
      </c>
      <c r="AE397">
        <f t="shared" si="20"/>
        <v>2024</v>
      </c>
      <c r="AG397" s="19">
        <v>45490</v>
      </c>
    </row>
    <row r="398" spans="1:33" x14ac:dyDescent="0.25">
      <c r="A398" s="25">
        <v>10397</v>
      </c>
      <c r="B398" t="s">
        <v>416</v>
      </c>
      <c r="C398" t="s">
        <v>416</v>
      </c>
      <c r="D398" s="27" t="s">
        <v>481</v>
      </c>
      <c r="E398" s="27">
        <v>11</v>
      </c>
      <c r="F398" s="56"/>
      <c r="G398" s="56"/>
      <c r="H398" t="s">
        <v>18</v>
      </c>
      <c r="I398" t="s">
        <v>8</v>
      </c>
      <c r="J398">
        <v>5.6399999999999999E-2</v>
      </c>
      <c r="K398">
        <v>6.0490000000000004</v>
      </c>
      <c r="L398">
        <v>0.35199999999999998</v>
      </c>
      <c r="N398">
        <v>0.33887640555203613</v>
      </c>
      <c r="O398">
        <v>3.6799999999999997</v>
      </c>
      <c r="P398">
        <v>8.34</v>
      </c>
      <c r="Q398" s="27">
        <v>4.8507604562737647</v>
      </c>
      <c r="R398" s="27">
        <v>3.5420563855567946</v>
      </c>
      <c r="S398" s="27"/>
      <c r="T398" s="27"/>
      <c r="U398" s="27"/>
      <c r="V398" s="27"/>
      <c r="W398" s="27"/>
      <c r="X398" s="27"/>
      <c r="Y398" s="27"/>
      <c r="Z398" s="27"/>
      <c r="AC398">
        <f t="shared" si="18"/>
        <v>7</v>
      </c>
      <c r="AD398">
        <f t="shared" si="19"/>
        <v>17</v>
      </c>
      <c r="AE398">
        <f t="shared" si="20"/>
        <v>2024</v>
      </c>
      <c r="AG398" s="19">
        <v>45490</v>
      </c>
    </row>
    <row r="399" spans="1:33" x14ac:dyDescent="0.25">
      <c r="A399" s="25">
        <v>10398</v>
      </c>
      <c r="B399" t="s">
        <v>417</v>
      </c>
      <c r="C399" t="s">
        <v>417</v>
      </c>
      <c r="D399" s="27" t="s">
        <v>482</v>
      </c>
      <c r="E399" s="27">
        <v>12</v>
      </c>
      <c r="F399" s="56"/>
      <c r="G399" s="56"/>
      <c r="H399" t="s">
        <v>18</v>
      </c>
      <c r="I399" t="s">
        <v>8</v>
      </c>
      <c r="J399">
        <v>6.5199999999999994E-2</v>
      </c>
      <c r="K399">
        <v>4.9370000000000003</v>
      </c>
      <c r="L399">
        <v>0.308</v>
      </c>
      <c r="N399">
        <v>0.40907508559543099</v>
      </c>
      <c r="O399">
        <v>2.6933333333333334</v>
      </c>
      <c r="P399">
        <v>5.9899999999999993</v>
      </c>
      <c r="Q399" s="27">
        <v>5.4726761588868218</v>
      </c>
      <c r="R399" s="27">
        <v>2.0163412345777867</v>
      </c>
      <c r="S399" s="27">
        <v>379.04700000000003</v>
      </c>
      <c r="T399" s="27">
        <v>386.12299999999999</v>
      </c>
      <c r="U399" s="27">
        <v>377.83699999999999</v>
      </c>
      <c r="V399" s="27">
        <v>373.94099999999997</v>
      </c>
      <c r="W399" s="27">
        <v>394.87799999999999</v>
      </c>
      <c r="X399" s="27">
        <v>366.24</v>
      </c>
      <c r="Y399" s="27">
        <v>382.255</v>
      </c>
      <c r="Z399" s="27">
        <v>612.82299999999998</v>
      </c>
      <c r="AC399">
        <f t="shared" si="18"/>
        <v>7</v>
      </c>
      <c r="AD399">
        <f t="shared" si="19"/>
        <v>17</v>
      </c>
      <c r="AE399">
        <f t="shared" si="20"/>
        <v>2024</v>
      </c>
      <c r="AG399" s="19">
        <v>45490</v>
      </c>
    </row>
    <row r="400" spans="1:33" x14ac:dyDescent="0.25">
      <c r="A400" s="25">
        <v>10399</v>
      </c>
      <c r="B400" t="s">
        <v>418</v>
      </c>
      <c r="C400" t="s">
        <v>418</v>
      </c>
      <c r="D400" s="27" t="s">
        <v>483</v>
      </c>
      <c r="E400" s="27">
        <v>14</v>
      </c>
      <c r="F400" s="56"/>
      <c r="G400" s="56"/>
      <c r="H400" t="s">
        <v>18</v>
      </c>
      <c r="I400" t="s">
        <v>8</v>
      </c>
      <c r="J400">
        <v>6.1600000000000002E-2</v>
      </c>
      <c r="K400">
        <v>5.359</v>
      </c>
      <c r="L400">
        <v>0.33900000000000002</v>
      </c>
      <c r="N400">
        <v>0.39770183890916089</v>
      </c>
      <c r="O400">
        <v>2.2333333333333334</v>
      </c>
      <c r="P400">
        <v>4.9800000000000004</v>
      </c>
      <c r="Q400" s="27">
        <v>5.1354259364129113</v>
      </c>
      <c r="R400" s="27">
        <v>3.2103177652407666</v>
      </c>
      <c r="S400" s="27">
        <v>390.59899999999999</v>
      </c>
      <c r="T400" s="27">
        <v>455.476</v>
      </c>
      <c r="U400" s="27">
        <v>440.32799999999997</v>
      </c>
      <c r="V400" s="27">
        <v>445.55099999999999</v>
      </c>
      <c r="W400" s="27">
        <v>461.60700000000003</v>
      </c>
      <c r="X400" s="27">
        <v>474.20499999999998</v>
      </c>
      <c r="Y400" s="27">
        <v>461.68700000000001</v>
      </c>
      <c r="Z400" s="27">
        <v>680.93700000000001</v>
      </c>
      <c r="AC400">
        <f t="shared" si="18"/>
        <v>7</v>
      </c>
      <c r="AD400">
        <f t="shared" si="19"/>
        <v>17</v>
      </c>
      <c r="AE400">
        <f t="shared" si="20"/>
        <v>2024</v>
      </c>
      <c r="AG400" s="19">
        <v>45490</v>
      </c>
    </row>
    <row r="401" spans="1:33" x14ac:dyDescent="0.25">
      <c r="A401" s="25">
        <v>10400</v>
      </c>
      <c r="B401" t="s">
        <v>419</v>
      </c>
      <c r="C401" t="s">
        <v>419</v>
      </c>
      <c r="D401" s="27" t="s">
        <v>484</v>
      </c>
      <c r="E401" s="27">
        <v>15</v>
      </c>
      <c r="F401" s="56"/>
      <c r="G401" s="56"/>
      <c r="H401" t="s">
        <v>18</v>
      </c>
      <c r="I401" t="s">
        <v>8</v>
      </c>
      <c r="J401">
        <v>4.9799999999999997E-2</v>
      </c>
      <c r="K401">
        <v>4.9119999999999999</v>
      </c>
      <c r="L401">
        <v>0.29699999999999999</v>
      </c>
      <c r="N401">
        <v>0.3539041820413904</v>
      </c>
      <c r="O401">
        <v>2.3433333333333333</v>
      </c>
      <c r="P401">
        <v>6.1566666666666663</v>
      </c>
      <c r="Q401" s="27">
        <v>9.2748024701345633E-2</v>
      </c>
      <c r="R401" s="27">
        <v>0.19904317218961698</v>
      </c>
      <c r="S401" s="27">
        <v>355.44900000000001</v>
      </c>
      <c r="T401" s="27">
        <v>372.35500000000002</v>
      </c>
      <c r="U401" s="27">
        <v>371.49700000000001</v>
      </c>
      <c r="V401" s="27">
        <v>372.58300000000003</v>
      </c>
      <c r="W401" s="27">
        <v>399.03300000000002</v>
      </c>
      <c r="X401" s="27">
        <v>388.91199999999998</v>
      </c>
      <c r="Y401" s="27">
        <v>393.08</v>
      </c>
      <c r="Z401" s="27">
        <v>582.96600000000001</v>
      </c>
      <c r="AC401">
        <f t="shared" si="18"/>
        <v>7</v>
      </c>
      <c r="AD401">
        <f t="shared" si="19"/>
        <v>17</v>
      </c>
      <c r="AE401">
        <f t="shared" si="20"/>
        <v>2024</v>
      </c>
      <c r="AG401" s="19">
        <v>45490</v>
      </c>
    </row>
    <row r="402" spans="1:33" x14ac:dyDescent="0.25">
      <c r="A402" s="25">
        <v>10401</v>
      </c>
      <c r="B402" s="67" t="s">
        <v>420</v>
      </c>
      <c r="C402" s="67" t="s">
        <v>420</v>
      </c>
      <c r="D402" s="68" t="s">
        <v>456</v>
      </c>
      <c r="E402" s="68">
        <v>1</v>
      </c>
      <c r="F402" s="114"/>
      <c r="G402" s="114"/>
      <c r="H402" s="67" t="s">
        <v>17</v>
      </c>
      <c r="I402" s="67" t="s">
        <v>8</v>
      </c>
      <c r="J402" s="115">
        <v>3.1000000000000003E-3</v>
      </c>
      <c r="K402" s="116">
        <v>1.8393333333333333</v>
      </c>
      <c r="L402" s="116">
        <v>6.533333333333334E-2</v>
      </c>
      <c r="N402">
        <v>0.32824190662092656</v>
      </c>
      <c r="O402">
        <v>5.5033333333333339</v>
      </c>
      <c r="P402">
        <v>4.7299999999999995</v>
      </c>
      <c r="Q402">
        <v>3.4259817973358366</v>
      </c>
      <c r="R402">
        <v>1.1471593552336259</v>
      </c>
      <c r="S402">
        <v>227.49</v>
      </c>
      <c r="T402">
        <v>261.04599999999999</v>
      </c>
      <c r="U402">
        <v>348.68</v>
      </c>
      <c r="V402">
        <v>361.32499999999999</v>
      </c>
      <c r="W402">
        <v>309.07799999999997</v>
      </c>
      <c r="X402">
        <v>274.51799999999997</v>
      </c>
      <c r="Y402">
        <v>356.21499999999997</v>
      </c>
      <c r="Z402">
        <v>700.13400000000001</v>
      </c>
      <c r="AC402">
        <f t="shared" si="18"/>
        <v>7</v>
      </c>
      <c r="AD402">
        <f t="shared" si="19"/>
        <v>18</v>
      </c>
      <c r="AE402">
        <f t="shared" si="20"/>
        <v>2024</v>
      </c>
      <c r="AG402" s="19">
        <v>45491</v>
      </c>
    </row>
    <row r="403" spans="1:33" x14ac:dyDescent="0.25">
      <c r="A403" s="25">
        <v>10402</v>
      </c>
      <c r="B403" t="s">
        <v>421</v>
      </c>
      <c r="C403" t="s">
        <v>421</v>
      </c>
      <c r="D403" s="27" t="s">
        <v>457</v>
      </c>
      <c r="E403" s="27">
        <v>2</v>
      </c>
      <c r="F403" s="56"/>
      <c r="G403" s="56"/>
      <c r="H403" t="s">
        <v>17</v>
      </c>
      <c r="I403" t="s">
        <v>8</v>
      </c>
      <c r="J403">
        <v>-4.8999999999999998E-3</v>
      </c>
      <c r="K403">
        <v>1.62</v>
      </c>
      <c r="L403">
        <v>5.6000000000000001E-2</v>
      </c>
      <c r="N403">
        <v>0.40345308715057798</v>
      </c>
      <c r="O403">
        <v>15.976666666666665</v>
      </c>
      <c r="P403">
        <v>10.723333333333334</v>
      </c>
      <c r="Q403">
        <v>2.6209927085245699</v>
      </c>
      <c r="R403">
        <v>1.1491997551520097</v>
      </c>
      <c r="S403">
        <v>207.316</v>
      </c>
      <c r="T403">
        <v>237.07900000000001</v>
      </c>
      <c r="U403">
        <v>337.06799999999998</v>
      </c>
      <c r="V403">
        <v>340.61200000000002</v>
      </c>
      <c r="W403">
        <v>282.99299999999999</v>
      </c>
      <c r="X403">
        <v>273.20800000000003</v>
      </c>
      <c r="Y403">
        <v>342.95699999999999</v>
      </c>
      <c r="Z403">
        <v>653.67100000000005</v>
      </c>
      <c r="AC403">
        <f t="shared" si="18"/>
        <v>7</v>
      </c>
      <c r="AD403">
        <f t="shared" si="19"/>
        <v>18</v>
      </c>
      <c r="AE403">
        <f t="shared" si="20"/>
        <v>2024</v>
      </c>
      <c r="AG403" s="19">
        <v>45491</v>
      </c>
    </row>
    <row r="404" spans="1:33" x14ac:dyDescent="0.25">
      <c r="A404" s="25">
        <v>10403</v>
      </c>
      <c r="B404" t="s">
        <v>422</v>
      </c>
      <c r="C404" t="s">
        <v>422</v>
      </c>
      <c r="D404" s="27" t="s">
        <v>458</v>
      </c>
      <c r="E404" s="27">
        <v>3</v>
      </c>
      <c r="F404" s="56"/>
      <c r="G404" s="56"/>
      <c r="H404" t="s">
        <v>17</v>
      </c>
      <c r="I404" t="s">
        <v>8</v>
      </c>
      <c r="J404">
        <v>1.5299999999999999E-2</v>
      </c>
      <c r="K404">
        <v>1.347</v>
      </c>
      <c r="L404">
        <v>8.9999999999999993E-3</v>
      </c>
      <c r="N404">
        <v>0.41933287867878899</v>
      </c>
      <c r="O404">
        <v>7.4233333333333347</v>
      </c>
      <c r="P404">
        <v>4.8066666666666666</v>
      </c>
      <c r="Q404">
        <v>2.7828221981822843</v>
      </c>
      <c r="R404">
        <v>1.2640742705570291</v>
      </c>
      <c r="S404">
        <v>196.43299999999999</v>
      </c>
      <c r="T404">
        <v>252.779</v>
      </c>
      <c r="U404">
        <v>351.78199999999998</v>
      </c>
      <c r="V404">
        <v>355.02199999999999</v>
      </c>
      <c r="W404">
        <v>283.19200000000001</v>
      </c>
      <c r="X404">
        <v>286.00900000000001</v>
      </c>
      <c r="Y404">
        <v>326.084</v>
      </c>
      <c r="Z404">
        <v>582.32399999999996</v>
      </c>
      <c r="AC404">
        <f t="shared" si="18"/>
        <v>7</v>
      </c>
      <c r="AD404">
        <f t="shared" si="19"/>
        <v>18</v>
      </c>
      <c r="AE404">
        <f t="shared" si="20"/>
        <v>2024</v>
      </c>
      <c r="AG404" s="19">
        <v>45491</v>
      </c>
    </row>
    <row r="405" spans="1:33" x14ac:dyDescent="0.25">
      <c r="A405" s="25">
        <v>10404</v>
      </c>
      <c r="B405" t="s">
        <v>423</v>
      </c>
      <c r="C405" t="s">
        <v>423</v>
      </c>
      <c r="D405" s="27" t="s">
        <v>459</v>
      </c>
      <c r="E405" s="27">
        <v>4</v>
      </c>
      <c r="F405" s="56"/>
      <c r="G405" s="56"/>
      <c r="H405" t="s">
        <v>17</v>
      </c>
      <c r="I405" t="s">
        <v>8</v>
      </c>
      <c r="J405">
        <v>4.0000000000000002E-4</v>
      </c>
      <c r="K405">
        <v>1.341</v>
      </c>
      <c r="L405">
        <v>0</v>
      </c>
      <c r="N405">
        <v>0.4417066509477221</v>
      </c>
      <c r="O405">
        <v>16.326666666666664</v>
      </c>
      <c r="P405">
        <v>23.533333333333331</v>
      </c>
      <c r="Q405">
        <v>2.7093578474169</v>
      </c>
      <c r="R405">
        <v>0.84791974426987693</v>
      </c>
      <c r="S405">
        <v>185.15899999999999</v>
      </c>
      <c r="T405">
        <v>223.922</v>
      </c>
      <c r="U405">
        <v>333.96600000000001</v>
      </c>
      <c r="V405">
        <v>335.464</v>
      </c>
      <c r="W405">
        <v>266.04700000000003</v>
      </c>
      <c r="X405">
        <v>264.49099999999999</v>
      </c>
      <c r="Y405">
        <v>313.09800000000001</v>
      </c>
      <c r="Z405">
        <v>595.04899999999998</v>
      </c>
      <c r="AC405">
        <f t="shared" si="18"/>
        <v>7</v>
      </c>
      <c r="AD405">
        <f t="shared" si="19"/>
        <v>18</v>
      </c>
      <c r="AE405">
        <f t="shared" si="20"/>
        <v>2024</v>
      </c>
      <c r="AG405" s="19">
        <v>45491</v>
      </c>
    </row>
    <row r="406" spans="1:33" x14ac:dyDescent="0.25">
      <c r="A406" s="25">
        <v>10405</v>
      </c>
      <c r="B406" t="s">
        <v>424</v>
      </c>
      <c r="C406" t="s">
        <v>424</v>
      </c>
      <c r="D406" s="27" t="s">
        <v>460</v>
      </c>
      <c r="E406" s="27">
        <v>5</v>
      </c>
      <c r="F406" s="56"/>
      <c r="G406" s="56"/>
      <c r="H406" t="s">
        <v>17</v>
      </c>
      <c r="I406" t="s">
        <v>8</v>
      </c>
      <c r="J406">
        <v>3.7000000000000002E-3</v>
      </c>
      <c r="K406">
        <v>1.776</v>
      </c>
      <c r="L406">
        <v>7.0000000000000001E-3</v>
      </c>
      <c r="N406">
        <v>0.4134438211625992</v>
      </c>
      <c r="O406">
        <v>12.796666666666667</v>
      </c>
      <c r="P406">
        <v>16.296666666666663</v>
      </c>
      <c r="Q406">
        <v>2.6490616349962544</v>
      </c>
      <c r="R406">
        <v>0.95454560293817592</v>
      </c>
      <c r="S406">
        <v>168.14099999999999</v>
      </c>
      <c r="T406">
        <v>215.21600000000001</v>
      </c>
      <c r="U406">
        <v>335.68299999999999</v>
      </c>
      <c r="V406">
        <v>345.09100000000001</v>
      </c>
      <c r="W406">
        <v>265.53300000000002</v>
      </c>
      <c r="X406">
        <v>257.03800000000001</v>
      </c>
      <c r="Y406">
        <v>326.31400000000002</v>
      </c>
      <c r="Z406">
        <v>615.72400000000005</v>
      </c>
      <c r="AC406">
        <f t="shared" si="18"/>
        <v>7</v>
      </c>
      <c r="AD406">
        <f t="shared" si="19"/>
        <v>18</v>
      </c>
      <c r="AE406">
        <f t="shared" si="20"/>
        <v>2024</v>
      </c>
      <c r="AG406" s="19">
        <v>45491</v>
      </c>
    </row>
    <row r="407" spans="1:33" x14ac:dyDescent="0.25">
      <c r="A407" s="25">
        <v>10406</v>
      </c>
      <c r="B407" t="s">
        <v>425</v>
      </c>
      <c r="C407" t="s">
        <v>425</v>
      </c>
      <c r="D407" s="27" t="s">
        <v>461</v>
      </c>
      <c r="E407" s="27">
        <v>6</v>
      </c>
      <c r="F407" s="56"/>
      <c r="G407" s="56"/>
      <c r="H407" t="s">
        <v>17</v>
      </c>
      <c r="I407" t="s">
        <v>8</v>
      </c>
      <c r="J407">
        <v>2.12E-2</v>
      </c>
      <c r="K407">
        <v>1.887</v>
      </c>
      <c r="L407">
        <v>0.13600000000000001</v>
      </c>
      <c r="N407">
        <v>0.37801911441317848</v>
      </c>
      <c r="O407">
        <v>16.726666666666667</v>
      </c>
      <c r="P407">
        <v>17.366666666666664</v>
      </c>
      <c r="Q407">
        <v>3.2582612984186383</v>
      </c>
      <c r="R407">
        <v>1.5492541658165002</v>
      </c>
      <c r="S407">
        <v>190.18899999999999</v>
      </c>
      <c r="T407">
        <v>204.334</v>
      </c>
      <c r="U407">
        <v>325.80900000000003</v>
      </c>
      <c r="V407">
        <v>340.173</v>
      </c>
      <c r="W407">
        <v>279.73399999999998</v>
      </c>
      <c r="X407">
        <v>248.61799999999999</v>
      </c>
      <c r="Y407">
        <v>353.50799999999998</v>
      </c>
      <c r="Z407">
        <v>645.74</v>
      </c>
      <c r="AC407">
        <f t="shared" si="18"/>
        <v>7</v>
      </c>
      <c r="AD407">
        <f t="shared" si="19"/>
        <v>18</v>
      </c>
      <c r="AE407">
        <f t="shared" si="20"/>
        <v>2024</v>
      </c>
      <c r="AG407" s="19">
        <v>45491</v>
      </c>
    </row>
    <row r="408" spans="1:33" x14ac:dyDescent="0.25">
      <c r="A408" s="25">
        <v>10407</v>
      </c>
      <c r="B408" t="s">
        <v>426</v>
      </c>
      <c r="C408" t="s">
        <v>426</v>
      </c>
      <c r="D408" s="27" t="s">
        <v>462</v>
      </c>
      <c r="E408" s="27">
        <v>7</v>
      </c>
      <c r="F408" s="56"/>
      <c r="G408" s="56"/>
      <c r="H408" t="s">
        <v>17</v>
      </c>
      <c r="I408" t="s">
        <v>8</v>
      </c>
      <c r="J408">
        <v>1.0699999999999999E-2</v>
      </c>
      <c r="K408">
        <v>1.5389999999999999</v>
      </c>
      <c r="L408">
        <v>-4.0000000000000001E-3</v>
      </c>
      <c r="N408">
        <v>0.45027605693764094</v>
      </c>
      <c r="O408">
        <v>2.7766666666666668</v>
      </c>
      <c r="P408">
        <v>1.8933333333333333</v>
      </c>
      <c r="Q408">
        <v>2.7909656521586359</v>
      </c>
      <c r="R408">
        <v>1.284886349724546</v>
      </c>
      <c r="S408">
        <v>209.18700000000001</v>
      </c>
      <c r="T408">
        <v>242.28800000000001</v>
      </c>
      <c r="U408">
        <v>342.512</v>
      </c>
      <c r="V408">
        <v>353.50099999999998</v>
      </c>
      <c r="W408">
        <v>289.08300000000003</v>
      </c>
      <c r="X408">
        <v>258.613</v>
      </c>
      <c r="Y408">
        <v>312.37099999999998</v>
      </c>
      <c r="Z408">
        <v>574.81100000000004</v>
      </c>
      <c r="AC408">
        <f t="shared" si="18"/>
        <v>7</v>
      </c>
      <c r="AD408">
        <f t="shared" si="19"/>
        <v>18</v>
      </c>
      <c r="AE408">
        <f t="shared" si="20"/>
        <v>2024</v>
      </c>
      <c r="AG408" s="19">
        <v>45491</v>
      </c>
    </row>
    <row r="409" spans="1:33" x14ac:dyDescent="0.25">
      <c r="A409" s="25">
        <v>10408</v>
      </c>
      <c r="B409" t="s">
        <v>427</v>
      </c>
      <c r="C409" t="s">
        <v>427</v>
      </c>
      <c r="D409" s="27" t="s">
        <v>463</v>
      </c>
      <c r="E409" s="27">
        <v>8</v>
      </c>
      <c r="F409" s="56"/>
      <c r="G409" s="56"/>
      <c r="H409" t="s">
        <v>17</v>
      </c>
      <c r="I409" t="s">
        <v>8</v>
      </c>
      <c r="J409">
        <v>2.2000000000000001E-3</v>
      </c>
      <c r="K409">
        <v>1.536</v>
      </c>
      <c r="L409">
        <v>5.1999999999999998E-2</v>
      </c>
      <c r="N409">
        <v>0.44720066481797649</v>
      </c>
      <c r="O409">
        <v>10.843333333333334</v>
      </c>
      <c r="P409">
        <v>8.9133333333333322</v>
      </c>
      <c r="Q409">
        <v>2.7421049283005265</v>
      </c>
      <c r="R409">
        <v>1.2714197102632117</v>
      </c>
      <c r="S409">
        <v>207.88300000000001</v>
      </c>
      <c r="T409">
        <v>250.178</v>
      </c>
      <c r="U409">
        <v>352.07</v>
      </c>
      <c r="V409">
        <v>357.36799999999999</v>
      </c>
      <c r="W409">
        <v>292.52800000000002</v>
      </c>
      <c r="X409">
        <v>261.178</v>
      </c>
      <c r="Y409">
        <v>320.99599999999998</v>
      </c>
      <c r="Z409">
        <v>593.78200000000004</v>
      </c>
      <c r="AC409">
        <f t="shared" si="18"/>
        <v>7</v>
      </c>
      <c r="AD409">
        <f t="shared" si="19"/>
        <v>18</v>
      </c>
      <c r="AE409">
        <f t="shared" si="20"/>
        <v>2024</v>
      </c>
      <c r="AG409" s="19">
        <v>45491</v>
      </c>
    </row>
    <row r="410" spans="1:33" x14ac:dyDescent="0.25">
      <c r="A410" s="25">
        <v>10409</v>
      </c>
      <c r="B410" t="s">
        <v>428</v>
      </c>
      <c r="C410" t="s">
        <v>428</v>
      </c>
      <c r="D410" s="27" t="s">
        <v>464</v>
      </c>
      <c r="E410" s="27">
        <v>9</v>
      </c>
      <c r="F410" s="56"/>
      <c r="G410" s="56"/>
      <c r="H410" t="s">
        <v>17</v>
      </c>
      <c r="I410" t="s">
        <v>8</v>
      </c>
      <c r="J410">
        <v>1.0500000000000001E-2</v>
      </c>
      <c r="K410">
        <v>1.522</v>
      </c>
      <c r="L410">
        <v>4.0000000000000001E-3</v>
      </c>
      <c r="N410">
        <v>0.36806250129913409</v>
      </c>
      <c r="O410">
        <v>3.09</v>
      </c>
      <c r="P410">
        <v>2.3033333333333332</v>
      </c>
      <c r="Q410">
        <v>2.6698534323826841</v>
      </c>
      <c r="R410">
        <v>1.6756229340950828</v>
      </c>
      <c r="S410">
        <v>214.85300000000001</v>
      </c>
      <c r="T410">
        <v>263.31099999999998</v>
      </c>
      <c r="U410">
        <v>365.70100000000002</v>
      </c>
      <c r="V410">
        <v>378.26799999999997</v>
      </c>
      <c r="W410">
        <v>292.733</v>
      </c>
      <c r="X410">
        <v>290.64699999999999</v>
      </c>
      <c r="Y410">
        <v>302.51799999999997</v>
      </c>
      <c r="Z410">
        <v>520.13900000000001</v>
      </c>
      <c r="AC410">
        <f t="shared" si="18"/>
        <v>7</v>
      </c>
      <c r="AD410">
        <f t="shared" si="19"/>
        <v>18</v>
      </c>
      <c r="AE410">
        <f t="shared" si="20"/>
        <v>2024</v>
      </c>
      <c r="AG410" s="19">
        <v>45491</v>
      </c>
    </row>
    <row r="411" spans="1:33" x14ac:dyDescent="0.25">
      <c r="A411" s="25">
        <v>10410</v>
      </c>
      <c r="B411" t="s">
        <v>429</v>
      </c>
      <c r="C411" t="s">
        <v>429</v>
      </c>
      <c r="D411" s="27" t="s">
        <v>465</v>
      </c>
      <c r="E411" s="27">
        <v>10</v>
      </c>
      <c r="F411" s="56"/>
      <c r="G411" s="56"/>
      <c r="H411" t="s">
        <v>17</v>
      </c>
      <c r="I411" t="s">
        <v>8</v>
      </c>
      <c r="J411">
        <v>7.3000000000000001E-3</v>
      </c>
      <c r="K411">
        <v>1.482</v>
      </c>
      <c r="L411">
        <v>5.2999999999999999E-2</v>
      </c>
      <c r="N411">
        <v>0.40351668564358045</v>
      </c>
      <c r="O411">
        <v>11.406666666666666</v>
      </c>
      <c r="P411">
        <v>7.82</v>
      </c>
      <c r="Q411">
        <v>2.7613373408829736</v>
      </c>
      <c r="R411">
        <v>1.343853907365844</v>
      </c>
      <c r="S411">
        <v>221.79599999999999</v>
      </c>
      <c r="T411">
        <v>257.65100000000001</v>
      </c>
      <c r="U411">
        <v>365.02300000000002</v>
      </c>
      <c r="V411">
        <v>385.19799999999998</v>
      </c>
      <c r="W411">
        <v>307.37099999999998</v>
      </c>
      <c r="X411">
        <v>272.52100000000002</v>
      </c>
      <c r="Y411">
        <v>316.13900000000001</v>
      </c>
      <c r="Z411">
        <v>615.65099999999995</v>
      </c>
      <c r="AC411">
        <f t="shared" si="18"/>
        <v>7</v>
      </c>
      <c r="AD411">
        <f t="shared" si="19"/>
        <v>18</v>
      </c>
      <c r="AE411">
        <f t="shared" si="20"/>
        <v>2024</v>
      </c>
      <c r="AG411" s="19">
        <v>45491</v>
      </c>
    </row>
    <row r="412" spans="1:33" x14ac:dyDescent="0.25">
      <c r="A412" s="25">
        <v>10411</v>
      </c>
      <c r="B412" t="s">
        <v>430</v>
      </c>
      <c r="C412" t="s">
        <v>430</v>
      </c>
      <c r="D412" s="27" t="s">
        <v>466</v>
      </c>
      <c r="E412" s="27">
        <v>11</v>
      </c>
      <c r="F412" s="56"/>
      <c r="G412" s="56"/>
      <c r="H412" t="s">
        <v>17</v>
      </c>
      <c r="I412" t="s">
        <v>8</v>
      </c>
      <c r="J412">
        <v>9.5999999999999992E-3</v>
      </c>
      <c r="K412">
        <v>1.5880000000000001</v>
      </c>
      <c r="L412">
        <v>4.0000000000000001E-3</v>
      </c>
      <c r="N412">
        <v>0.43410082494934421</v>
      </c>
      <c r="O412">
        <v>3.01</v>
      </c>
      <c r="P412">
        <v>2.563333333333333</v>
      </c>
      <c r="Q412">
        <v>2.6105968098313599</v>
      </c>
      <c r="R412">
        <v>1.3487508671699653</v>
      </c>
      <c r="S412">
        <v>216.76900000000001</v>
      </c>
      <c r="T412">
        <v>269.90800000000002</v>
      </c>
      <c r="U412">
        <v>383.25400000000002</v>
      </c>
      <c r="V412">
        <v>392.83100000000002</v>
      </c>
      <c r="W412">
        <v>301.24599999999998</v>
      </c>
      <c r="X412">
        <v>299.24200000000002</v>
      </c>
      <c r="Y412">
        <v>305.077</v>
      </c>
      <c r="Z412">
        <v>539.02300000000002</v>
      </c>
      <c r="AC412">
        <f t="shared" si="18"/>
        <v>7</v>
      </c>
      <c r="AD412">
        <f t="shared" si="19"/>
        <v>18</v>
      </c>
      <c r="AE412">
        <f t="shared" si="20"/>
        <v>2024</v>
      </c>
      <c r="AG412" s="19">
        <v>45491</v>
      </c>
    </row>
    <row r="413" spans="1:33" x14ac:dyDescent="0.25">
      <c r="A413" s="25">
        <v>10412</v>
      </c>
      <c r="B413" t="s">
        <v>431</v>
      </c>
      <c r="C413" t="s">
        <v>431</v>
      </c>
      <c r="D413" s="27" t="s">
        <v>467</v>
      </c>
      <c r="E413" s="27">
        <v>12</v>
      </c>
      <c r="F413" s="56"/>
      <c r="G413" s="56"/>
      <c r="H413" t="s">
        <v>17</v>
      </c>
      <c r="I413" t="s">
        <v>8</v>
      </c>
      <c r="J413">
        <v>-4.5999999999999999E-3</v>
      </c>
      <c r="K413">
        <v>1.4</v>
      </c>
      <c r="L413">
        <v>1.7999999999999999E-2</v>
      </c>
      <c r="N413">
        <v>0.38824831977577967</v>
      </c>
      <c r="O413">
        <v>2.5933333333333333</v>
      </c>
      <c r="P413">
        <v>1.6466666666666665</v>
      </c>
      <c r="Q413">
        <v>2.0149118147101555</v>
      </c>
      <c r="R413">
        <v>1.0275919200163233</v>
      </c>
      <c r="S413">
        <v>223.977</v>
      </c>
      <c r="T413">
        <v>290.70699999999999</v>
      </c>
      <c r="U413">
        <v>409.53699999999998</v>
      </c>
      <c r="V413">
        <v>430.548</v>
      </c>
      <c r="W413">
        <v>319.11200000000002</v>
      </c>
      <c r="X413">
        <v>321.11500000000001</v>
      </c>
      <c r="Y413">
        <v>312.11799999999999</v>
      </c>
      <c r="Z413">
        <v>547.04999999999995</v>
      </c>
      <c r="AC413">
        <f t="shared" si="18"/>
        <v>7</v>
      </c>
      <c r="AD413">
        <f t="shared" si="19"/>
        <v>18</v>
      </c>
      <c r="AE413">
        <f t="shared" si="20"/>
        <v>2024</v>
      </c>
      <c r="AG413" s="19">
        <v>45491</v>
      </c>
    </row>
    <row r="414" spans="1:33" x14ac:dyDescent="0.25">
      <c r="A414" s="25">
        <v>10413</v>
      </c>
      <c r="B414" t="s">
        <v>432</v>
      </c>
      <c r="C414" t="s">
        <v>432</v>
      </c>
      <c r="D414" s="27" t="s">
        <v>468</v>
      </c>
      <c r="E414" s="27">
        <v>13</v>
      </c>
      <c r="F414" s="56"/>
      <c r="G414" s="56"/>
      <c r="H414" t="s">
        <v>17</v>
      </c>
      <c r="I414" t="s">
        <v>8</v>
      </c>
      <c r="J414">
        <v>4.4000000000000003E-3</v>
      </c>
      <c r="K414">
        <v>1.5980000000000001</v>
      </c>
      <c r="L414">
        <v>6.0000000000000001E-3</v>
      </c>
      <c r="N414">
        <v>0.35104990542288694</v>
      </c>
      <c r="O414">
        <v>37.883333333333333</v>
      </c>
      <c r="P414">
        <v>57.126666666666665</v>
      </c>
      <c r="Q414">
        <v>2.3891641676658857</v>
      </c>
      <c r="R414">
        <v>1.2952923893083044</v>
      </c>
      <c r="S414">
        <v>186.71600000000001</v>
      </c>
      <c r="T414">
        <v>231.79</v>
      </c>
      <c r="U414">
        <v>352.82299999999998</v>
      </c>
      <c r="V414">
        <v>376.30900000000003</v>
      </c>
      <c r="W414">
        <v>295.55200000000002</v>
      </c>
      <c r="X414">
        <v>268.70800000000003</v>
      </c>
      <c r="Y414">
        <v>344.423</v>
      </c>
      <c r="Z414">
        <v>647.20299999999997</v>
      </c>
      <c r="AC414">
        <f t="shared" si="18"/>
        <v>7</v>
      </c>
      <c r="AD414">
        <f t="shared" si="19"/>
        <v>18</v>
      </c>
      <c r="AE414">
        <f t="shared" si="20"/>
        <v>2024</v>
      </c>
      <c r="AG414" s="19">
        <v>45491</v>
      </c>
    </row>
    <row r="415" spans="1:33" x14ac:dyDescent="0.25">
      <c r="A415" s="25">
        <v>10414</v>
      </c>
      <c r="B415" t="s">
        <v>433</v>
      </c>
      <c r="C415" t="s">
        <v>433</v>
      </c>
      <c r="D415" s="27" t="s">
        <v>497</v>
      </c>
      <c r="E415" s="27">
        <v>1</v>
      </c>
      <c r="F415" s="56"/>
      <c r="G415" s="56"/>
      <c r="H415" t="s">
        <v>18</v>
      </c>
      <c r="I415" t="s">
        <v>8</v>
      </c>
      <c r="J415">
        <v>6.7999999999999996E-3</v>
      </c>
      <c r="K415">
        <v>3.931</v>
      </c>
      <c r="L415">
        <v>0.222</v>
      </c>
      <c r="N415">
        <v>0.14893269133829695</v>
      </c>
      <c r="O415">
        <v>34.623333333333335</v>
      </c>
      <c r="P415">
        <v>39.783333333333339</v>
      </c>
      <c r="Q415" s="27">
        <v>3.9052463392929377</v>
      </c>
      <c r="R415" s="27">
        <v>2.9990462716453399</v>
      </c>
      <c r="S415" s="27">
        <v>223.55099999999999</v>
      </c>
      <c r="T415" s="27">
        <v>269.37799999999999</v>
      </c>
      <c r="U415" s="27">
        <v>339.83800000000002</v>
      </c>
      <c r="V415" s="27">
        <v>331.83</v>
      </c>
      <c r="W415" s="27">
        <v>284.75299999999999</v>
      </c>
      <c r="X415" s="27">
        <v>263.40899999999999</v>
      </c>
      <c r="Y415" s="27">
        <v>329.87200000000001</v>
      </c>
      <c r="Z415" s="27">
        <v>674.18600000000004</v>
      </c>
      <c r="AC415">
        <f t="shared" si="18"/>
        <v>7</v>
      </c>
      <c r="AD415">
        <f t="shared" si="19"/>
        <v>22</v>
      </c>
      <c r="AE415">
        <f t="shared" si="20"/>
        <v>2024</v>
      </c>
      <c r="AG415" s="19">
        <v>45495</v>
      </c>
    </row>
    <row r="416" spans="1:33" x14ac:dyDescent="0.25">
      <c r="A416" s="25">
        <v>10415</v>
      </c>
      <c r="B416" t="s">
        <v>434</v>
      </c>
      <c r="C416" t="s">
        <v>434</v>
      </c>
      <c r="D416" s="27" t="s">
        <v>498</v>
      </c>
      <c r="E416" s="27">
        <v>5</v>
      </c>
      <c r="F416" s="56"/>
      <c r="G416" s="56"/>
      <c r="H416" t="s">
        <v>18</v>
      </c>
      <c r="I416" t="s">
        <v>8</v>
      </c>
      <c r="J416">
        <v>7.7000000000000002E-3</v>
      </c>
      <c r="K416">
        <v>4.1269999999999998</v>
      </c>
      <c r="L416">
        <v>0.22600000000000001</v>
      </c>
      <c r="N416">
        <v>9.6605479191300303E-2</v>
      </c>
      <c r="O416">
        <v>13.910000000000002</v>
      </c>
      <c r="P416">
        <v>15.016666666666666</v>
      </c>
      <c r="Q416" s="27">
        <v>4.1646306933096024</v>
      </c>
      <c r="R416" s="27">
        <v>3.0262875817077872</v>
      </c>
      <c r="S416" s="27">
        <v>241.13900000000001</v>
      </c>
      <c r="T416" s="27">
        <v>255.17</v>
      </c>
      <c r="U416" s="27">
        <v>310.64800000000002</v>
      </c>
      <c r="V416" s="27">
        <v>289.35300000000001</v>
      </c>
      <c r="W416" s="27">
        <v>256.58600000000001</v>
      </c>
      <c r="X416" s="27">
        <v>245.93100000000001</v>
      </c>
      <c r="Y416" s="27">
        <v>303.709</v>
      </c>
      <c r="Z416" s="27">
        <v>660.69799999999998</v>
      </c>
      <c r="AC416">
        <f t="shared" si="18"/>
        <v>7</v>
      </c>
      <c r="AD416">
        <f t="shared" si="19"/>
        <v>22</v>
      </c>
      <c r="AE416">
        <f t="shared" si="20"/>
        <v>2024</v>
      </c>
      <c r="AG416" s="19">
        <v>45495</v>
      </c>
    </row>
    <row r="417" spans="1:33" x14ac:dyDescent="0.25">
      <c r="A417" s="25">
        <v>10416</v>
      </c>
      <c r="B417" t="s">
        <v>435</v>
      </c>
      <c r="C417" t="s">
        <v>435</v>
      </c>
      <c r="D417" s="27" t="s">
        <v>477</v>
      </c>
      <c r="E417" s="27">
        <v>6</v>
      </c>
      <c r="F417" s="56"/>
      <c r="G417" s="56"/>
      <c r="H417" t="s">
        <v>18</v>
      </c>
      <c r="I417" t="s">
        <v>8</v>
      </c>
      <c r="J417">
        <v>2.06E-2</v>
      </c>
      <c r="K417">
        <v>2.7549999999999999</v>
      </c>
      <c r="L417">
        <v>0.28000000000000003</v>
      </c>
      <c r="N417">
        <v>0.34392617927543728</v>
      </c>
      <c r="O417">
        <v>0.95333333333333325</v>
      </c>
      <c r="P417">
        <v>1.2433333333333334</v>
      </c>
      <c r="Q417" s="27">
        <v>5.2948655718253645</v>
      </c>
      <c r="R417" s="27">
        <v>1.9848623873945135</v>
      </c>
      <c r="S417" s="27">
        <v>238.84</v>
      </c>
      <c r="T417" s="27">
        <v>273.78300000000002</v>
      </c>
      <c r="U417" s="27">
        <v>337.49200000000002</v>
      </c>
      <c r="V417" s="27">
        <v>327.20400000000001</v>
      </c>
      <c r="W417" s="27">
        <v>301.18</v>
      </c>
      <c r="X417" s="27">
        <v>308.54399999999998</v>
      </c>
      <c r="Y417" s="27">
        <v>324.46699999999998</v>
      </c>
      <c r="Z417" s="27">
        <v>658.43100000000004</v>
      </c>
      <c r="AC417">
        <f t="shared" si="18"/>
        <v>7</v>
      </c>
      <c r="AD417">
        <f t="shared" si="19"/>
        <v>22</v>
      </c>
      <c r="AE417">
        <f t="shared" si="20"/>
        <v>2024</v>
      </c>
      <c r="AG417" s="19">
        <v>45495</v>
      </c>
    </row>
    <row r="418" spans="1:33" x14ac:dyDescent="0.25">
      <c r="A418" s="25">
        <v>10417</v>
      </c>
      <c r="B418" t="s">
        <v>436</v>
      </c>
      <c r="C418" t="s">
        <v>436</v>
      </c>
      <c r="D418" s="27" t="s">
        <v>478</v>
      </c>
      <c r="E418" s="27">
        <v>8</v>
      </c>
      <c r="F418" s="56"/>
      <c r="G418" s="56"/>
      <c r="H418" t="s">
        <v>18</v>
      </c>
      <c r="I418" t="s">
        <v>8</v>
      </c>
      <c r="J418">
        <v>2.35E-2</v>
      </c>
      <c r="K418">
        <v>2.8180000000000001</v>
      </c>
      <c r="L418">
        <v>0.23799999999999999</v>
      </c>
      <c r="N418">
        <v>0.12225287361321316</v>
      </c>
      <c r="O418">
        <v>4.26</v>
      </c>
      <c r="P418">
        <v>3.8433333333333337</v>
      </c>
      <c r="Q418" s="27">
        <v>6.0839737885284375</v>
      </c>
      <c r="R418" s="27">
        <v>2.5371547254753954</v>
      </c>
      <c r="S418" s="27">
        <v>235.99100000000001</v>
      </c>
      <c r="T418" s="27">
        <v>280.80700000000002</v>
      </c>
      <c r="U418" s="27">
        <v>331.60899999999998</v>
      </c>
      <c r="V418" s="27">
        <v>319.83499999999998</v>
      </c>
      <c r="W418" s="27">
        <v>290.66800000000001</v>
      </c>
      <c r="X418" s="27">
        <v>294.43</v>
      </c>
      <c r="Y418" s="27">
        <v>306.63900000000001</v>
      </c>
      <c r="Z418" s="27">
        <v>604.51499999999999</v>
      </c>
      <c r="AC418">
        <f t="shared" si="18"/>
        <v>7</v>
      </c>
      <c r="AD418">
        <f t="shared" si="19"/>
        <v>22</v>
      </c>
      <c r="AE418">
        <f t="shared" si="20"/>
        <v>2024</v>
      </c>
      <c r="AG418" s="19">
        <v>45495</v>
      </c>
    </row>
    <row r="419" spans="1:33" x14ac:dyDescent="0.25">
      <c r="A419" s="25">
        <v>10418</v>
      </c>
      <c r="B419" t="s">
        <v>437</v>
      </c>
      <c r="C419" t="s">
        <v>437</v>
      </c>
      <c r="D419" s="27" t="s">
        <v>479</v>
      </c>
      <c r="E419" s="27">
        <v>9</v>
      </c>
      <c r="F419" s="56"/>
      <c r="G419" s="56"/>
      <c r="H419" t="s">
        <v>18</v>
      </c>
      <c r="I419" t="s">
        <v>8</v>
      </c>
      <c r="J419">
        <v>1.83E-2</v>
      </c>
      <c r="K419">
        <v>3.3580000000000001</v>
      </c>
      <c r="L419">
        <v>0.27100000000000002</v>
      </c>
      <c r="N419">
        <v>0.10620028409122534</v>
      </c>
      <c r="O419">
        <v>6.6633333333333331</v>
      </c>
      <c r="P419">
        <v>5.46</v>
      </c>
      <c r="Q419" s="27">
        <v>6.130491060593803</v>
      </c>
      <c r="R419" s="27">
        <v>2.3694693279798846</v>
      </c>
      <c r="S419" s="27">
        <v>300.46800000000002</v>
      </c>
      <c r="T419" s="27">
        <v>317.846</v>
      </c>
      <c r="U419" s="27">
        <v>367.35199999999998</v>
      </c>
      <c r="V419" s="27">
        <v>354.84500000000003</v>
      </c>
      <c r="W419" s="27">
        <v>313.608</v>
      </c>
      <c r="X419" s="27">
        <v>310.59899999999999</v>
      </c>
      <c r="Y419" s="27">
        <v>349.387</v>
      </c>
      <c r="Z419" s="27">
        <v>731.42700000000002</v>
      </c>
      <c r="AC419">
        <f t="shared" si="18"/>
        <v>7</v>
      </c>
      <c r="AD419">
        <f t="shared" si="19"/>
        <v>22</v>
      </c>
      <c r="AE419">
        <f t="shared" si="20"/>
        <v>2024</v>
      </c>
      <c r="AG419" s="19">
        <v>45495</v>
      </c>
    </row>
    <row r="420" spans="1:33" x14ac:dyDescent="0.25">
      <c r="A420" s="25">
        <v>10419</v>
      </c>
      <c r="B420" t="s">
        <v>438</v>
      </c>
      <c r="C420" t="s">
        <v>438</v>
      </c>
      <c r="D420" s="27" t="s">
        <v>480</v>
      </c>
      <c r="E420" s="27">
        <v>10</v>
      </c>
      <c r="F420" s="56"/>
      <c r="G420" s="56"/>
      <c r="H420" t="s">
        <v>18</v>
      </c>
      <c r="I420" t="s">
        <v>8</v>
      </c>
      <c r="J420">
        <v>6.3E-3</v>
      </c>
      <c r="K420">
        <v>2.7370000000000001</v>
      </c>
      <c r="L420">
        <v>0.23699999999999999</v>
      </c>
      <c r="N420">
        <v>0.10782122717448141</v>
      </c>
      <c r="O420">
        <v>8.9099999999999984</v>
      </c>
      <c r="P420">
        <v>7.996666666666667</v>
      </c>
      <c r="Q420" s="27">
        <v>5.815488229107677</v>
      </c>
      <c r="R420" s="27">
        <v>2.1705068707830453</v>
      </c>
      <c r="S420" s="27">
        <v>366.815</v>
      </c>
      <c r="T420" s="27">
        <v>366.666</v>
      </c>
      <c r="U420" s="27">
        <v>422.29599999999999</v>
      </c>
      <c r="V420" s="27">
        <v>398.85700000000003</v>
      </c>
      <c r="W420" s="27">
        <v>367.71499999999997</v>
      </c>
      <c r="X420" s="27">
        <v>366.13499999999999</v>
      </c>
      <c r="Y420" s="27">
        <v>381.11099999999999</v>
      </c>
      <c r="Z420" s="27">
        <v>633.05700000000002</v>
      </c>
      <c r="AC420">
        <f t="shared" si="18"/>
        <v>7</v>
      </c>
      <c r="AD420">
        <f t="shared" si="19"/>
        <v>22</v>
      </c>
      <c r="AE420">
        <f t="shared" si="20"/>
        <v>2024</v>
      </c>
      <c r="AG420" s="19">
        <v>45495</v>
      </c>
    </row>
    <row r="421" spans="1:33" x14ac:dyDescent="0.25">
      <c r="A421" s="25">
        <v>10420</v>
      </c>
      <c r="B421" t="s">
        <v>439</v>
      </c>
      <c r="C421" t="s">
        <v>439</v>
      </c>
      <c r="D421" s="27" t="s">
        <v>481</v>
      </c>
      <c r="E421" s="27">
        <v>11</v>
      </c>
      <c r="F421" s="56"/>
      <c r="G421" s="56"/>
      <c r="H421" t="s">
        <v>18</v>
      </c>
      <c r="I421" t="s">
        <v>8</v>
      </c>
      <c r="J421">
        <v>9.5999999999999992E-3</v>
      </c>
      <c r="K421">
        <v>3.3069999999999999</v>
      </c>
      <c r="L421">
        <v>0.27100000000000002</v>
      </c>
      <c r="N421">
        <v>7.2312840697886044E-2</v>
      </c>
      <c r="O421">
        <v>13.160000000000002</v>
      </c>
      <c r="P421">
        <v>7.003333333333333</v>
      </c>
      <c r="Q421" s="27">
        <v>5.1430102742496562</v>
      </c>
      <c r="R421" s="27">
        <v>2.8953275059260948</v>
      </c>
      <c r="S421" s="27"/>
      <c r="T421" s="27"/>
      <c r="U421" s="27"/>
      <c r="V421" s="27"/>
      <c r="W421" s="27"/>
      <c r="X421" s="27"/>
      <c r="Y421" s="27"/>
      <c r="Z421" s="27"/>
      <c r="AC421">
        <f t="shared" si="18"/>
        <v>7</v>
      </c>
      <c r="AD421">
        <f t="shared" si="19"/>
        <v>22</v>
      </c>
      <c r="AE421">
        <f t="shared" si="20"/>
        <v>2024</v>
      </c>
      <c r="AG421" s="19">
        <v>45495</v>
      </c>
    </row>
    <row r="422" spans="1:33" x14ac:dyDescent="0.25">
      <c r="A422" s="25">
        <v>10421</v>
      </c>
      <c r="B422" t="s">
        <v>440</v>
      </c>
      <c r="C422" t="s">
        <v>440</v>
      </c>
      <c r="D422" s="27" t="s">
        <v>482</v>
      </c>
      <c r="E422" s="27">
        <v>12</v>
      </c>
      <c r="F422" s="56"/>
      <c r="G422" s="56"/>
      <c r="H422" t="s">
        <v>18</v>
      </c>
      <c r="I422" t="s">
        <v>8</v>
      </c>
      <c r="J422">
        <v>-5.45E-2</v>
      </c>
      <c r="K422">
        <v>2.8460000000000001</v>
      </c>
      <c r="L422">
        <v>0.214</v>
      </c>
      <c r="N422">
        <v>0.49193282153122631</v>
      </c>
      <c r="O422">
        <v>4.34</v>
      </c>
      <c r="P422">
        <v>5.8166666666666673</v>
      </c>
      <c r="Q422" s="27">
        <v>5.1414934066823079</v>
      </c>
      <c r="R422" s="27">
        <v>2.0764739041971154</v>
      </c>
      <c r="S422" s="27"/>
      <c r="T422" s="27"/>
      <c r="U422" s="27"/>
      <c r="V422" s="27"/>
      <c r="W422" s="27"/>
      <c r="X422" s="27"/>
      <c r="Y422" s="27"/>
      <c r="Z422" s="27"/>
      <c r="AC422">
        <f t="shared" si="18"/>
        <v>7</v>
      </c>
      <c r="AD422">
        <f t="shared" si="19"/>
        <v>22</v>
      </c>
      <c r="AE422">
        <f t="shared" si="20"/>
        <v>2024</v>
      </c>
      <c r="AG422" s="19">
        <v>45495</v>
      </c>
    </row>
    <row r="423" spans="1:33" x14ac:dyDescent="0.25">
      <c r="A423" s="25">
        <v>10422</v>
      </c>
      <c r="B423" t="s">
        <v>441</v>
      </c>
      <c r="C423" t="s">
        <v>441</v>
      </c>
      <c r="D423" s="27" t="s">
        <v>483</v>
      </c>
      <c r="E423" s="27">
        <v>14</v>
      </c>
      <c r="F423" s="56"/>
      <c r="G423" s="56"/>
      <c r="H423" t="s">
        <v>18</v>
      </c>
      <c r="I423" t="s">
        <v>8</v>
      </c>
      <c r="J423">
        <v>1.78E-2</v>
      </c>
      <c r="K423">
        <v>2.58</v>
      </c>
      <c r="L423">
        <v>0.25900000000000001</v>
      </c>
      <c r="N423">
        <v>3.8508132716297092E-2</v>
      </c>
      <c r="O423">
        <v>5.1099999999999994</v>
      </c>
      <c r="P423">
        <v>4.5166666666666666</v>
      </c>
      <c r="Q423" s="27">
        <v>5.2107636922579079</v>
      </c>
      <c r="R423" s="27">
        <v>2.0324842331333111</v>
      </c>
      <c r="S423" s="27"/>
      <c r="T423" s="27"/>
      <c r="U423" s="27"/>
      <c r="V423" s="27"/>
      <c r="W423" s="27"/>
      <c r="X423" s="27"/>
      <c r="Y423" s="27"/>
      <c r="Z423" s="27"/>
      <c r="AC423">
        <f t="shared" si="18"/>
        <v>7</v>
      </c>
      <c r="AD423">
        <f t="shared" si="19"/>
        <v>22</v>
      </c>
      <c r="AE423">
        <f t="shared" si="20"/>
        <v>2024</v>
      </c>
      <c r="AG423" s="19">
        <v>45495</v>
      </c>
    </row>
    <row r="424" spans="1:33" x14ac:dyDescent="0.25">
      <c r="A424" s="25">
        <v>10423</v>
      </c>
      <c r="B424" t="s">
        <v>442</v>
      </c>
      <c r="C424" t="s">
        <v>442</v>
      </c>
      <c r="D424" s="27" t="s">
        <v>484</v>
      </c>
      <c r="E424" s="27">
        <v>15</v>
      </c>
      <c r="F424" s="56"/>
      <c r="G424" s="56"/>
      <c r="H424" t="s">
        <v>18</v>
      </c>
      <c r="I424" t="s">
        <v>8</v>
      </c>
      <c r="J424">
        <v>1.11E-2</v>
      </c>
      <c r="K424">
        <v>2.4369999999999998</v>
      </c>
      <c r="L424">
        <v>0.26300000000000001</v>
      </c>
      <c r="N424">
        <v>1.1616613765205942E-2</v>
      </c>
      <c r="O424">
        <v>5.666666666666667</v>
      </c>
      <c r="P424">
        <v>6.3999999999999995</v>
      </c>
      <c r="Q424" s="27">
        <v>5.1162122805598251</v>
      </c>
      <c r="R424" s="27">
        <v>2.0552862185929892</v>
      </c>
      <c r="S424" s="27"/>
      <c r="T424" s="27"/>
      <c r="U424" s="27"/>
      <c r="V424" s="27"/>
      <c r="W424" s="27"/>
      <c r="X424" s="27"/>
      <c r="Y424" s="27"/>
      <c r="Z424" s="27"/>
      <c r="AC424">
        <f t="shared" si="18"/>
        <v>7</v>
      </c>
      <c r="AD424">
        <f t="shared" si="19"/>
        <v>22</v>
      </c>
      <c r="AE424">
        <f t="shared" si="20"/>
        <v>2024</v>
      </c>
      <c r="AG424" s="19">
        <v>45495</v>
      </c>
    </row>
    <row r="425" spans="1:33" x14ac:dyDescent="0.25">
      <c r="A425" s="25">
        <v>10424</v>
      </c>
      <c r="B425" t="s">
        <v>443</v>
      </c>
      <c r="C425" t="s">
        <v>443</v>
      </c>
      <c r="D425" s="27" t="s">
        <v>485</v>
      </c>
      <c r="E425" s="27">
        <v>1</v>
      </c>
      <c r="F425" s="56"/>
      <c r="G425" s="56"/>
      <c r="H425" t="s">
        <v>19</v>
      </c>
      <c r="I425" t="s">
        <v>8</v>
      </c>
      <c r="J425">
        <v>-0.49590000000000001</v>
      </c>
      <c r="K425">
        <v>2.0409999999999999</v>
      </c>
      <c r="L425">
        <v>7.0000000000000001E-3</v>
      </c>
      <c r="N425">
        <v>7.5530942574200344E-2</v>
      </c>
      <c r="O425">
        <v>3.5533333333333332</v>
      </c>
      <c r="P425">
        <v>3.84</v>
      </c>
      <c r="Q425">
        <v>3.6585033981074062</v>
      </c>
      <c r="R425">
        <v>1.5611564986737401</v>
      </c>
      <c r="S425">
        <v>478.19799999999998</v>
      </c>
      <c r="T425">
        <v>411.846</v>
      </c>
      <c r="U425">
        <v>531.19500000000005</v>
      </c>
      <c r="V425">
        <v>577.43600000000004</v>
      </c>
      <c r="W425">
        <v>487.52499999999998</v>
      </c>
      <c r="X425">
        <v>387.245</v>
      </c>
      <c r="Y425">
        <v>441.66899999999998</v>
      </c>
      <c r="Z425">
        <v>653.63699999999994</v>
      </c>
      <c r="AC425">
        <f t="shared" si="18"/>
        <v>7</v>
      </c>
      <c r="AD425">
        <f t="shared" si="19"/>
        <v>23</v>
      </c>
      <c r="AE425">
        <f t="shared" si="20"/>
        <v>2024</v>
      </c>
      <c r="AG425" s="19">
        <v>45496</v>
      </c>
    </row>
    <row r="426" spans="1:33" x14ac:dyDescent="0.25">
      <c r="A426" s="25">
        <v>10425</v>
      </c>
      <c r="B426" t="s">
        <v>444</v>
      </c>
      <c r="C426" t="s">
        <v>444</v>
      </c>
      <c r="D426" s="27" t="s">
        <v>486</v>
      </c>
      <c r="E426" s="27">
        <v>2</v>
      </c>
      <c r="F426" s="56"/>
      <c r="G426" s="56"/>
      <c r="H426" t="s">
        <v>19</v>
      </c>
      <c r="I426" t="s">
        <v>8</v>
      </c>
      <c r="J426">
        <v>-0.49669999999999997</v>
      </c>
      <c r="K426">
        <v>2.0510000000000002</v>
      </c>
      <c r="L426">
        <v>3.0000000000000001E-3</v>
      </c>
      <c r="N426">
        <v>7.3831099770517356E-2</v>
      </c>
      <c r="O426">
        <v>12.003333333333332</v>
      </c>
      <c r="P426">
        <v>16.830000000000002</v>
      </c>
      <c r="Q426">
        <v>3.641523430241822</v>
      </c>
      <c r="R426">
        <v>1.532998979800041</v>
      </c>
      <c r="S426">
        <v>500.66800000000001</v>
      </c>
      <c r="T426">
        <v>427.32900000000001</v>
      </c>
      <c r="U426">
        <v>547.09400000000005</v>
      </c>
      <c r="V426">
        <v>607.30600000000004</v>
      </c>
      <c r="W426">
        <v>512.67100000000005</v>
      </c>
      <c r="X426">
        <v>406.351</v>
      </c>
      <c r="Y426">
        <v>492.74400000000003</v>
      </c>
      <c r="Z426">
        <v>697.80100000000004</v>
      </c>
      <c r="AC426">
        <f t="shared" si="18"/>
        <v>7</v>
      </c>
      <c r="AD426">
        <f t="shared" si="19"/>
        <v>23</v>
      </c>
      <c r="AE426">
        <f t="shared" si="20"/>
        <v>2024</v>
      </c>
      <c r="AG426" s="19">
        <v>45496</v>
      </c>
    </row>
    <row r="427" spans="1:33" x14ac:dyDescent="0.25">
      <c r="A427" s="25">
        <v>10426</v>
      </c>
      <c r="B427" t="s">
        <v>445</v>
      </c>
      <c r="C427" t="s">
        <v>445</v>
      </c>
      <c r="D427" s="27" t="s">
        <v>487</v>
      </c>
      <c r="E427" s="27">
        <v>3</v>
      </c>
      <c r="F427" s="56"/>
      <c r="G427" s="56"/>
      <c r="H427" t="s">
        <v>19</v>
      </c>
      <c r="I427" t="s">
        <v>8</v>
      </c>
      <c r="J427">
        <v>-0.50760000000000005</v>
      </c>
      <c r="K427">
        <v>2.177</v>
      </c>
      <c r="L427">
        <v>5.0000000000000001E-3</v>
      </c>
      <c r="N427">
        <v>6.1524858800590734E-2</v>
      </c>
      <c r="O427">
        <v>10.193333333333333</v>
      </c>
      <c r="P427">
        <v>16.779999999999998</v>
      </c>
      <c r="Q427">
        <v>3.537391178331454</v>
      </c>
      <c r="R427">
        <v>1.1169614364415426</v>
      </c>
      <c r="S427">
        <v>457.67399999999998</v>
      </c>
      <c r="T427">
        <v>396.03300000000002</v>
      </c>
      <c r="U427">
        <v>500.64</v>
      </c>
      <c r="V427">
        <v>536.31600000000003</v>
      </c>
      <c r="W427">
        <v>459.26100000000002</v>
      </c>
      <c r="X427">
        <v>365.721</v>
      </c>
      <c r="Y427">
        <v>430.31299999999999</v>
      </c>
      <c r="Z427">
        <v>603.69500000000005</v>
      </c>
      <c r="AC427">
        <f t="shared" si="18"/>
        <v>7</v>
      </c>
      <c r="AD427">
        <f t="shared" si="19"/>
        <v>23</v>
      </c>
      <c r="AE427">
        <f t="shared" si="20"/>
        <v>2024</v>
      </c>
      <c r="AG427" s="19">
        <v>45496</v>
      </c>
    </row>
    <row r="428" spans="1:33" x14ac:dyDescent="0.25">
      <c r="A428" s="25">
        <v>10427</v>
      </c>
      <c r="B428" t="s">
        <v>446</v>
      </c>
      <c r="C428" t="s">
        <v>446</v>
      </c>
      <c r="D428" s="27" t="s">
        <v>488</v>
      </c>
      <c r="E428" s="27">
        <v>4</v>
      </c>
      <c r="F428" s="56"/>
      <c r="G428" s="56"/>
      <c r="H428" t="s">
        <v>19</v>
      </c>
      <c r="I428" t="s">
        <v>8</v>
      </c>
      <c r="J428">
        <v>-0.50160000000000005</v>
      </c>
      <c r="K428">
        <v>2.387</v>
      </c>
      <c r="L428">
        <v>1E-3</v>
      </c>
      <c r="N428">
        <v>7.5612177141409762E-2</v>
      </c>
      <c r="O428">
        <v>3.4533333333333331</v>
      </c>
      <c r="P428">
        <v>3.8000000000000003</v>
      </c>
      <c r="Q428">
        <v>3.5737768237577061</v>
      </c>
      <c r="R428">
        <v>1.6560350948785962</v>
      </c>
      <c r="S428">
        <v>462.09199999999998</v>
      </c>
      <c r="T428">
        <v>398.68400000000003</v>
      </c>
      <c r="U428">
        <v>499.46600000000001</v>
      </c>
      <c r="V428">
        <v>534.45399999999995</v>
      </c>
      <c r="W428">
        <v>451.43099999999998</v>
      </c>
      <c r="X428">
        <v>361.166</v>
      </c>
      <c r="Y428">
        <v>433.31400000000002</v>
      </c>
      <c r="Z428">
        <v>673.4</v>
      </c>
      <c r="AC428">
        <f t="shared" ref="AC428:AC436" si="21">MONTH(AG428)</f>
        <v>7</v>
      </c>
      <c r="AD428">
        <f t="shared" ref="AD428:AD436" si="22">DAY(AG428)</f>
        <v>23</v>
      </c>
      <c r="AE428">
        <f t="shared" ref="AE428:AE436" si="23">YEAR(AG428)</f>
        <v>2024</v>
      </c>
      <c r="AG428" s="19">
        <v>45496</v>
      </c>
    </row>
    <row r="429" spans="1:33" x14ac:dyDescent="0.25">
      <c r="A429" s="25">
        <v>10428</v>
      </c>
      <c r="B429" t="s">
        <v>447</v>
      </c>
      <c r="C429" t="s">
        <v>447</v>
      </c>
      <c r="D429" s="27" t="s">
        <v>489</v>
      </c>
      <c r="E429" s="27">
        <v>5</v>
      </c>
      <c r="F429" s="56"/>
      <c r="G429" s="56"/>
      <c r="H429" t="s">
        <v>19</v>
      </c>
      <c r="I429" t="s">
        <v>8</v>
      </c>
      <c r="J429">
        <v>-0.49759999999999999</v>
      </c>
      <c r="K429">
        <v>2.1389999999999998</v>
      </c>
      <c r="L429">
        <v>1.0999999999999999E-2</v>
      </c>
      <c r="N429">
        <v>0.125599450854286</v>
      </c>
      <c r="O429">
        <v>12.316666666666665</v>
      </c>
      <c r="P429">
        <v>15.606666666666667</v>
      </c>
      <c r="Q429">
        <v>3.3490521470060473</v>
      </c>
      <c r="R429">
        <v>1.5756433380942667</v>
      </c>
      <c r="S429">
        <v>479.63200000000001</v>
      </c>
      <c r="T429">
        <v>415.11700000000002</v>
      </c>
      <c r="U429">
        <v>502.64699999999999</v>
      </c>
      <c r="V429">
        <v>535.54999999999995</v>
      </c>
      <c r="W429">
        <v>469.51</v>
      </c>
      <c r="X429">
        <v>370.50299999999999</v>
      </c>
      <c r="Y429">
        <v>475.43599999999998</v>
      </c>
      <c r="Z429">
        <v>706.78499999999997</v>
      </c>
      <c r="AC429">
        <f t="shared" si="21"/>
        <v>7</v>
      </c>
      <c r="AD429">
        <f t="shared" si="22"/>
        <v>23</v>
      </c>
      <c r="AE429">
        <f t="shared" si="23"/>
        <v>2024</v>
      </c>
      <c r="AG429" s="19">
        <v>45496</v>
      </c>
    </row>
    <row r="430" spans="1:33" x14ac:dyDescent="0.25">
      <c r="A430" s="25">
        <v>10429</v>
      </c>
      <c r="B430" t="s">
        <v>448</v>
      </c>
      <c r="C430" t="s">
        <v>448</v>
      </c>
      <c r="D430" s="27" t="s">
        <v>490</v>
      </c>
      <c r="E430" s="27">
        <v>6</v>
      </c>
      <c r="F430" s="56"/>
      <c r="G430" s="56"/>
      <c r="H430" t="s">
        <v>19</v>
      </c>
      <c r="I430" t="s">
        <v>8</v>
      </c>
      <c r="J430">
        <v>-0.49370000000000003</v>
      </c>
      <c r="K430">
        <v>2.1139999999999999</v>
      </c>
      <c r="L430">
        <v>0</v>
      </c>
      <c r="N430">
        <v>0.13922878276774439</v>
      </c>
      <c r="O430">
        <v>8.7533333333333321</v>
      </c>
      <c r="P430">
        <v>9.5633333333333326</v>
      </c>
      <c r="Q430">
        <v>3.1662575949836902</v>
      </c>
      <c r="R430">
        <v>1.4044537849418486</v>
      </c>
      <c r="S430">
        <v>433.875</v>
      </c>
      <c r="T430">
        <v>388.18700000000001</v>
      </c>
      <c r="U430">
        <v>485.80399999999997</v>
      </c>
      <c r="V430">
        <v>522.67200000000003</v>
      </c>
      <c r="W430">
        <v>447.54300000000001</v>
      </c>
      <c r="X430">
        <v>354.89600000000002</v>
      </c>
      <c r="Y430">
        <v>451.779</v>
      </c>
      <c r="Z430">
        <v>627.36500000000001</v>
      </c>
      <c r="AC430">
        <f t="shared" si="21"/>
        <v>7</v>
      </c>
      <c r="AD430">
        <f t="shared" si="22"/>
        <v>23</v>
      </c>
      <c r="AE430">
        <f t="shared" si="23"/>
        <v>2024</v>
      </c>
      <c r="AG430" s="19">
        <v>45496</v>
      </c>
    </row>
    <row r="431" spans="1:33" x14ac:dyDescent="0.25">
      <c r="A431" s="25">
        <v>10430</v>
      </c>
      <c r="B431" t="s">
        <v>449</v>
      </c>
      <c r="C431" t="s">
        <v>449</v>
      </c>
      <c r="D431" s="27" t="s">
        <v>491</v>
      </c>
      <c r="E431" s="27">
        <v>7</v>
      </c>
      <c r="F431" s="56"/>
      <c r="G431" s="56"/>
      <c r="H431" t="s">
        <v>19</v>
      </c>
      <c r="I431" t="s">
        <v>8</v>
      </c>
      <c r="J431">
        <v>-0.50560000000000005</v>
      </c>
      <c r="K431">
        <v>1.9330000000000001</v>
      </c>
      <c r="L431">
        <v>1E-3</v>
      </c>
      <c r="N431">
        <v>0.11380197383943823</v>
      </c>
      <c r="O431">
        <v>26.393333333333334</v>
      </c>
      <c r="P431">
        <v>35.813333333333333</v>
      </c>
      <c r="Q431">
        <v>3.593529031274814</v>
      </c>
      <c r="R431">
        <v>1.5423848194246075</v>
      </c>
      <c r="S431">
        <v>410.09100000000001</v>
      </c>
      <c r="T431">
        <v>363.63400000000001</v>
      </c>
      <c r="U431">
        <v>460.42700000000002</v>
      </c>
      <c r="V431">
        <v>481.26100000000002</v>
      </c>
      <c r="W431">
        <v>432.04</v>
      </c>
      <c r="X431">
        <v>325.899</v>
      </c>
      <c r="Y431">
        <v>437.762</v>
      </c>
      <c r="Z431">
        <v>619.65599999999995</v>
      </c>
      <c r="AC431">
        <f t="shared" si="21"/>
        <v>7</v>
      </c>
      <c r="AD431">
        <f t="shared" si="22"/>
        <v>23</v>
      </c>
      <c r="AE431">
        <f t="shared" si="23"/>
        <v>2024</v>
      </c>
      <c r="AG431" s="19">
        <v>45496</v>
      </c>
    </row>
    <row r="432" spans="1:33" x14ac:dyDescent="0.25">
      <c r="A432" s="25">
        <v>10431</v>
      </c>
      <c r="B432" t="s">
        <v>450</v>
      </c>
      <c r="C432" t="s">
        <v>450</v>
      </c>
      <c r="D432" s="27" t="s">
        <v>492</v>
      </c>
      <c r="E432" s="27">
        <v>8</v>
      </c>
      <c r="F432" s="56"/>
      <c r="G432" s="56"/>
      <c r="H432" t="s">
        <v>19</v>
      </c>
      <c r="I432" t="s">
        <v>8</v>
      </c>
      <c r="J432">
        <v>-0.49690000000000001</v>
      </c>
      <c r="K432">
        <v>2.2250000000000001</v>
      </c>
      <c r="L432">
        <v>1.4999999999999999E-2</v>
      </c>
      <c r="N432">
        <v>9.2130860894763925E-2</v>
      </c>
      <c r="O432">
        <v>13.936666666666666</v>
      </c>
      <c r="P432">
        <v>14.756666666666666</v>
      </c>
      <c r="Q432">
        <v>3.7056314721833132</v>
      </c>
      <c r="R432">
        <v>1.6762350540705979</v>
      </c>
      <c r="S432">
        <v>460.38400000000001</v>
      </c>
      <c r="T432">
        <v>391.62700000000001</v>
      </c>
      <c r="U432">
        <v>497.88900000000001</v>
      </c>
      <c r="V432">
        <v>525.66099999999994</v>
      </c>
      <c r="W432">
        <v>453.11399999999998</v>
      </c>
      <c r="X432">
        <v>350.221</v>
      </c>
      <c r="Y432">
        <v>469.411</v>
      </c>
      <c r="Z432">
        <v>692.32</v>
      </c>
      <c r="AC432">
        <f t="shared" si="21"/>
        <v>7</v>
      </c>
      <c r="AD432">
        <f t="shared" si="22"/>
        <v>23</v>
      </c>
      <c r="AE432">
        <f t="shared" si="23"/>
        <v>2024</v>
      </c>
      <c r="AG432" s="19">
        <v>45496</v>
      </c>
    </row>
    <row r="433" spans="1:33" x14ac:dyDescent="0.25">
      <c r="A433" s="25">
        <v>10432</v>
      </c>
      <c r="B433" t="s">
        <v>451</v>
      </c>
      <c r="C433" t="s">
        <v>451</v>
      </c>
      <c r="D433" s="27" t="s">
        <v>493</v>
      </c>
      <c r="E433" s="27">
        <v>9</v>
      </c>
      <c r="F433" s="56"/>
      <c r="G433" s="56"/>
      <c r="H433" t="s">
        <v>19</v>
      </c>
      <c r="I433" t="s">
        <v>8</v>
      </c>
      <c r="J433">
        <v>-0.50109999999999999</v>
      </c>
      <c r="K433">
        <v>2.2000000000000002</v>
      </c>
      <c r="L433">
        <v>1E-3</v>
      </c>
      <c r="N433">
        <v>0.1276921106239067</v>
      </c>
      <c r="O433">
        <v>29.343333333333334</v>
      </c>
      <c r="P433">
        <v>43.123333333333335</v>
      </c>
      <c r="Q433">
        <v>3.7323142788292309</v>
      </c>
      <c r="R433">
        <v>1.6314142691967628</v>
      </c>
      <c r="S433">
        <v>435.54199999999997</v>
      </c>
      <c r="T433">
        <v>372.15899999999999</v>
      </c>
      <c r="U433">
        <v>477.46</v>
      </c>
      <c r="V433">
        <v>504.00099999999998</v>
      </c>
      <c r="W433">
        <v>446.94099999999997</v>
      </c>
      <c r="X433">
        <v>343.339</v>
      </c>
      <c r="Y433">
        <v>502.839</v>
      </c>
      <c r="Z433">
        <v>790.29600000000005</v>
      </c>
      <c r="AC433">
        <f t="shared" si="21"/>
        <v>7</v>
      </c>
      <c r="AD433">
        <f t="shared" si="22"/>
        <v>23</v>
      </c>
      <c r="AE433">
        <f t="shared" si="23"/>
        <v>2024</v>
      </c>
      <c r="AG433" s="19">
        <v>45496</v>
      </c>
    </row>
    <row r="434" spans="1:33" x14ac:dyDescent="0.25">
      <c r="A434" s="25">
        <v>10433</v>
      </c>
      <c r="B434" t="s">
        <v>452</v>
      </c>
      <c r="C434" t="s">
        <v>452</v>
      </c>
      <c r="D434" s="27" t="s">
        <v>494</v>
      </c>
      <c r="E434" s="27">
        <v>10</v>
      </c>
      <c r="F434" s="56"/>
      <c r="G434" s="56"/>
      <c r="H434" t="s">
        <v>19</v>
      </c>
      <c r="I434" t="s">
        <v>8</v>
      </c>
      <c r="J434">
        <v>-0.50349999999999995</v>
      </c>
      <c r="K434">
        <v>2.218</v>
      </c>
      <c r="L434">
        <v>-1E-3</v>
      </c>
      <c r="N434">
        <v>5.5681940813887776E-2</v>
      </c>
      <c r="O434">
        <v>11.546666666666667</v>
      </c>
      <c r="P434">
        <v>13.623333333333333</v>
      </c>
      <c r="Q434">
        <v>3.642389755132923</v>
      </c>
      <c r="R434">
        <v>1.6264492960620283</v>
      </c>
      <c r="S434">
        <v>420.18799999999999</v>
      </c>
      <c r="T434">
        <v>356.04199999999997</v>
      </c>
      <c r="U434">
        <v>458.02800000000002</v>
      </c>
      <c r="V434">
        <v>496.274</v>
      </c>
      <c r="W434">
        <v>421.99700000000001</v>
      </c>
      <c r="X434">
        <v>324.774</v>
      </c>
      <c r="Y434">
        <v>448.37900000000002</v>
      </c>
      <c r="Z434">
        <v>696.10900000000004</v>
      </c>
      <c r="AC434">
        <f t="shared" si="21"/>
        <v>7</v>
      </c>
      <c r="AD434">
        <f t="shared" si="22"/>
        <v>23</v>
      </c>
      <c r="AE434">
        <f t="shared" si="23"/>
        <v>2024</v>
      </c>
      <c r="AG434" s="19">
        <v>45496</v>
      </c>
    </row>
    <row r="435" spans="1:33" x14ac:dyDescent="0.25">
      <c r="A435" s="25">
        <v>10434</v>
      </c>
      <c r="B435" t="s">
        <v>453</v>
      </c>
      <c r="C435" t="s">
        <v>453</v>
      </c>
      <c r="D435" s="27" t="s">
        <v>495</v>
      </c>
      <c r="E435" s="27">
        <v>13</v>
      </c>
      <c r="F435" s="56"/>
      <c r="G435" s="56"/>
      <c r="H435" t="s">
        <v>19</v>
      </c>
      <c r="I435" t="s">
        <v>8</v>
      </c>
      <c r="J435">
        <v>-0.49609999999999999</v>
      </c>
      <c r="K435">
        <v>2.2679999999999998</v>
      </c>
      <c r="L435">
        <v>6.0000000000000001E-3</v>
      </c>
      <c r="N435" s="41">
        <v>0.15</v>
      </c>
      <c r="O435">
        <v>15.276666666666666</v>
      </c>
      <c r="P435">
        <v>19.510000000000002</v>
      </c>
      <c r="Q435">
        <v>3.6236771374851369</v>
      </c>
      <c r="R435">
        <v>1.6407320954907163</v>
      </c>
      <c r="S435">
        <v>444.524</v>
      </c>
      <c r="T435">
        <v>378.428</v>
      </c>
      <c r="U435">
        <v>476.07600000000002</v>
      </c>
      <c r="V435">
        <v>519.22299999999996</v>
      </c>
      <c r="W435">
        <v>437.738</v>
      </c>
      <c r="X435">
        <v>347.78699999999998</v>
      </c>
      <c r="Y435">
        <v>427.101</v>
      </c>
      <c r="Z435">
        <v>631.10599999999999</v>
      </c>
      <c r="AC435">
        <f t="shared" si="21"/>
        <v>7</v>
      </c>
      <c r="AD435">
        <f t="shared" si="22"/>
        <v>23</v>
      </c>
      <c r="AE435">
        <f t="shared" si="23"/>
        <v>2024</v>
      </c>
      <c r="AG435" s="19">
        <v>45496</v>
      </c>
    </row>
    <row r="436" spans="1:33" x14ac:dyDescent="0.25">
      <c r="A436" s="25">
        <v>10435</v>
      </c>
      <c r="B436" t="s">
        <v>454</v>
      </c>
      <c r="C436" t="s">
        <v>454</v>
      </c>
      <c r="D436" s="27" t="s">
        <v>496</v>
      </c>
      <c r="E436" s="27">
        <v>14</v>
      </c>
      <c r="F436" s="56"/>
      <c r="G436" s="56"/>
      <c r="H436" t="s">
        <v>19</v>
      </c>
      <c r="I436" t="s">
        <v>8</v>
      </c>
      <c r="J436">
        <v>-0.49930000000000002</v>
      </c>
      <c r="K436">
        <v>2.3820000000000001</v>
      </c>
      <c r="L436">
        <v>0</v>
      </c>
      <c r="N436">
        <v>8.3841822092961163E-2</v>
      </c>
      <c r="O436">
        <v>3.5166666666666671</v>
      </c>
      <c r="P436">
        <v>4.4033333333333333</v>
      </c>
      <c r="Q436">
        <v>3.3937545113868706</v>
      </c>
      <c r="R436">
        <v>1.5545592056042985</v>
      </c>
      <c r="S436">
        <v>447.83199999999999</v>
      </c>
      <c r="T436">
        <v>388.57499999999999</v>
      </c>
      <c r="U436">
        <v>467.63</v>
      </c>
      <c r="V436">
        <v>502.005</v>
      </c>
      <c r="W436">
        <v>444.99799999999999</v>
      </c>
      <c r="X436">
        <v>348.67200000000003</v>
      </c>
      <c r="Y436">
        <v>404.99900000000002</v>
      </c>
      <c r="Z436">
        <v>628.22299999999996</v>
      </c>
      <c r="AC436">
        <f t="shared" si="21"/>
        <v>7</v>
      </c>
      <c r="AD436">
        <f t="shared" si="22"/>
        <v>23</v>
      </c>
      <c r="AE436">
        <f t="shared" si="23"/>
        <v>2024</v>
      </c>
      <c r="AG436" s="19">
        <v>45496</v>
      </c>
    </row>
    <row r="437" spans="1:33" x14ac:dyDescent="0.25">
      <c r="A437" s="25">
        <v>10436</v>
      </c>
      <c r="B437" t="s">
        <v>637</v>
      </c>
      <c r="C437" t="s">
        <v>446</v>
      </c>
      <c r="D437" s="27" t="s">
        <v>488</v>
      </c>
      <c r="E437" s="27">
        <v>4</v>
      </c>
      <c r="F437" s="56"/>
      <c r="G437" s="56"/>
      <c r="H437" t="s">
        <v>19</v>
      </c>
      <c r="I437" t="s">
        <v>8</v>
      </c>
      <c r="J437">
        <v>-0.50239999999999996</v>
      </c>
      <c r="K437">
        <v>2.2280000000000002</v>
      </c>
      <c r="L437">
        <v>8.0000000000000002E-3</v>
      </c>
      <c r="N437">
        <v>7.7336734978462288E-2</v>
      </c>
      <c r="O437">
        <v>13.106666666666667</v>
      </c>
      <c r="P437">
        <v>15.920000000000002</v>
      </c>
      <c r="Q437">
        <v>3.5353119985928112</v>
      </c>
      <c r="R437">
        <v>1.1436226620417604</v>
      </c>
      <c r="AG437" s="19"/>
    </row>
    <row r="438" spans="1:33" x14ac:dyDescent="0.25">
      <c r="A438" s="25">
        <v>10437</v>
      </c>
      <c r="B438" t="s">
        <v>600</v>
      </c>
      <c r="C438" t="s">
        <v>600</v>
      </c>
      <c r="D438" s="27" t="s">
        <v>497</v>
      </c>
      <c r="E438" s="27">
        <v>1</v>
      </c>
      <c r="F438" s="56"/>
      <c r="G438" s="56"/>
      <c r="H438" t="s">
        <v>18</v>
      </c>
      <c r="I438" t="s">
        <v>8</v>
      </c>
      <c r="J438">
        <v>2.47E-2</v>
      </c>
      <c r="K438">
        <v>1.327</v>
      </c>
      <c r="L438">
        <v>0.17799999999999999</v>
      </c>
      <c r="N438">
        <v>0.13363497559915768</v>
      </c>
      <c r="O438">
        <v>19.326666666666668</v>
      </c>
      <c r="P438">
        <v>27.62</v>
      </c>
      <c r="Q438" s="27">
        <v>2.7504044980179598</v>
      </c>
      <c r="R438" s="27">
        <v>1.0921545672740094</v>
      </c>
      <c r="S438" s="27">
        <v>388.19600000000003</v>
      </c>
      <c r="T438" s="27">
        <v>368.23399999999998</v>
      </c>
      <c r="U438" s="27">
        <v>442.00700000000001</v>
      </c>
      <c r="V438" s="27">
        <v>489.88499999999999</v>
      </c>
      <c r="W438" s="27">
        <v>452.39800000000002</v>
      </c>
      <c r="X438" s="27">
        <v>325.053</v>
      </c>
      <c r="Y438" s="27">
        <v>435.18200000000002</v>
      </c>
      <c r="Z438" s="27">
        <v>893.86199999999997</v>
      </c>
      <c r="AC438">
        <f t="shared" ref="AC438:AC461" si="24">MONTH(AG438)</f>
        <v>7</v>
      </c>
      <c r="AD438">
        <f t="shared" ref="AD438:AD461" si="25">DAY(AG438)</f>
        <v>30</v>
      </c>
      <c r="AE438">
        <f t="shared" ref="AE438:AE461" si="26">YEAR(AG438)</f>
        <v>2024</v>
      </c>
      <c r="AG438" s="19">
        <v>45503</v>
      </c>
    </row>
    <row r="439" spans="1:33" x14ac:dyDescent="0.25">
      <c r="A439" s="25">
        <v>10438</v>
      </c>
      <c r="B439" t="s">
        <v>601</v>
      </c>
      <c r="C439" t="s">
        <v>601</v>
      </c>
      <c r="D439" s="27" t="s">
        <v>503</v>
      </c>
      <c r="E439" s="27">
        <v>2</v>
      </c>
      <c r="F439" s="56"/>
      <c r="G439" s="56"/>
      <c r="H439" t="s">
        <v>18</v>
      </c>
      <c r="I439" t="s">
        <v>8</v>
      </c>
      <c r="J439">
        <v>8.0000000000000004E-4</v>
      </c>
      <c r="K439">
        <v>0.92800000000000005</v>
      </c>
      <c r="L439">
        <v>0.14799999999999999</v>
      </c>
      <c r="N439" s="41">
        <v>0.15</v>
      </c>
      <c r="O439">
        <v>15.373333333333333</v>
      </c>
      <c r="P439">
        <v>22.466666666666669</v>
      </c>
      <c r="Q439" s="27">
        <v>2.4874807863441468</v>
      </c>
      <c r="R439" s="27">
        <v>0.81953967916758952</v>
      </c>
      <c r="AC439">
        <f t="shared" si="24"/>
        <v>7</v>
      </c>
      <c r="AD439">
        <f t="shared" si="25"/>
        <v>30</v>
      </c>
      <c r="AE439">
        <f t="shared" si="26"/>
        <v>2024</v>
      </c>
      <c r="AG439" s="19">
        <v>45503</v>
      </c>
    </row>
    <row r="440" spans="1:33" x14ac:dyDescent="0.25">
      <c r="A440" s="25">
        <v>10439</v>
      </c>
      <c r="B440" t="s">
        <v>602</v>
      </c>
      <c r="C440" t="s">
        <v>602</v>
      </c>
      <c r="D440" s="27" t="s">
        <v>498</v>
      </c>
      <c r="E440" s="27">
        <v>5</v>
      </c>
      <c r="F440" s="56"/>
      <c r="G440" s="56"/>
      <c r="H440" t="s">
        <v>18</v>
      </c>
      <c r="I440" t="s">
        <v>8</v>
      </c>
      <c r="J440">
        <v>5.1999999999999998E-3</v>
      </c>
      <c r="K440">
        <v>1.6850000000000001</v>
      </c>
      <c r="L440">
        <v>0.28899999999999998</v>
      </c>
      <c r="N440">
        <v>1.7915727951992057E-2</v>
      </c>
      <c r="O440">
        <v>12.306666666666667</v>
      </c>
      <c r="P440">
        <v>22.8</v>
      </c>
      <c r="Q440" s="27">
        <v>3.4107475123371898</v>
      </c>
      <c r="R440" s="27">
        <v>1.406943039106737</v>
      </c>
      <c r="S440" s="27">
        <v>456.88900000000001</v>
      </c>
      <c r="T440" s="27">
        <v>452.46300000000002</v>
      </c>
      <c r="U440" s="27">
        <v>524.61699999999996</v>
      </c>
      <c r="V440" s="27">
        <v>572.57799999999997</v>
      </c>
      <c r="W440" s="27">
        <v>543.46400000000006</v>
      </c>
      <c r="X440" s="27">
        <v>446.59399999999999</v>
      </c>
      <c r="Y440" s="27">
        <v>514.83199999999999</v>
      </c>
      <c r="Z440" s="27">
        <v>989.59699999999998</v>
      </c>
      <c r="AC440">
        <f t="shared" si="24"/>
        <v>7</v>
      </c>
      <c r="AD440">
        <f t="shared" si="25"/>
        <v>30</v>
      </c>
      <c r="AE440">
        <f t="shared" si="26"/>
        <v>2024</v>
      </c>
      <c r="AG440" s="19">
        <v>45503</v>
      </c>
    </row>
    <row r="441" spans="1:33" x14ac:dyDescent="0.25">
      <c r="A441" s="25">
        <v>10440</v>
      </c>
      <c r="B441" t="s">
        <v>603</v>
      </c>
      <c r="C441" t="s">
        <v>603</v>
      </c>
      <c r="D441" s="27" t="s">
        <v>477</v>
      </c>
      <c r="E441" s="27">
        <v>6</v>
      </c>
      <c r="F441" s="56"/>
      <c r="G441" s="56"/>
      <c r="H441" t="s">
        <v>18</v>
      </c>
      <c r="I441" t="s">
        <v>8</v>
      </c>
      <c r="J441">
        <v>1.8599999999999998E-2</v>
      </c>
      <c r="K441">
        <v>1.6919999999999999</v>
      </c>
      <c r="L441">
        <v>0.27400000000000002</v>
      </c>
      <c r="N441" s="41">
        <v>0.15</v>
      </c>
      <c r="O441">
        <v>0.79666666666666652</v>
      </c>
      <c r="P441">
        <v>1.2033333333333334</v>
      </c>
      <c r="Q441" s="27">
        <v>3.2221503114634737</v>
      </c>
      <c r="R441" s="27">
        <v>1.4263146373733664</v>
      </c>
      <c r="S441" s="27">
        <v>391.72399999999999</v>
      </c>
      <c r="T441" s="27">
        <v>367.09899999999999</v>
      </c>
      <c r="U441" s="27">
        <v>443.46499999999997</v>
      </c>
      <c r="V441" s="27">
        <v>498.09399999999999</v>
      </c>
      <c r="W441" s="27">
        <v>481.56400000000002</v>
      </c>
      <c r="X441" s="27">
        <v>367.11200000000002</v>
      </c>
      <c r="Y441" s="27">
        <v>416.375</v>
      </c>
      <c r="Z441" s="27">
        <v>904.84100000000001</v>
      </c>
      <c r="AC441">
        <f t="shared" si="24"/>
        <v>7</v>
      </c>
      <c r="AD441">
        <f t="shared" si="25"/>
        <v>30</v>
      </c>
      <c r="AE441">
        <f t="shared" si="26"/>
        <v>2024</v>
      </c>
      <c r="AG441" s="19">
        <v>45503</v>
      </c>
    </row>
    <row r="442" spans="1:33" x14ac:dyDescent="0.25">
      <c r="A442" s="25">
        <v>10441</v>
      </c>
      <c r="B442" t="s">
        <v>604</v>
      </c>
      <c r="C442" t="s">
        <v>604</v>
      </c>
      <c r="D442" s="27" t="s">
        <v>478</v>
      </c>
      <c r="E442" s="27">
        <v>8</v>
      </c>
      <c r="F442" s="56"/>
      <c r="G442" s="56"/>
      <c r="H442" t="s">
        <v>18</v>
      </c>
      <c r="I442" t="s">
        <v>8</v>
      </c>
      <c r="J442">
        <v>2.41E-2</v>
      </c>
      <c r="K442">
        <v>1.637</v>
      </c>
      <c r="L442">
        <v>0.29199999999999998</v>
      </c>
      <c r="N442" s="41">
        <v>0.15</v>
      </c>
      <c r="O442">
        <v>3.6233333333333335</v>
      </c>
      <c r="P442">
        <v>5.13</v>
      </c>
      <c r="Q442" s="27">
        <v>2.7970903109241427</v>
      </c>
      <c r="R442" s="27">
        <v>1.2408046789727976</v>
      </c>
      <c r="S442" s="27">
        <v>481.00099999999998</v>
      </c>
      <c r="T442" s="27">
        <v>447.62700000000001</v>
      </c>
      <c r="U442" s="27">
        <v>511.36</v>
      </c>
      <c r="V442" s="27">
        <v>561.995</v>
      </c>
      <c r="W442" s="27">
        <v>539.02099999999996</v>
      </c>
      <c r="X442" s="27">
        <v>421.87099999999998</v>
      </c>
      <c r="Y442" s="27">
        <v>469.09300000000002</v>
      </c>
      <c r="Z442" s="27">
        <v>889.66800000000001</v>
      </c>
      <c r="AC442">
        <f t="shared" si="24"/>
        <v>7</v>
      </c>
      <c r="AD442">
        <f t="shared" si="25"/>
        <v>30</v>
      </c>
      <c r="AE442">
        <f t="shared" si="26"/>
        <v>2024</v>
      </c>
      <c r="AG442" s="19">
        <v>45503</v>
      </c>
    </row>
    <row r="443" spans="1:33" x14ac:dyDescent="0.25">
      <c r="A443" s="25">
        <v>10442</v>
      </c>
      <c r="B443" t="s">
        <v>605</v>
      </c>
      <c r="C443" t="s">
        <v>605</v>
      </c>
      <c r="D443" s="27" t="s">
        <v>479</v>
      </c>
      <c r="E443" s="27">
        <v>9</v>
      </c>
      <c r="F443" s="56"/>
      <c r="G443" s="56"/>
      <c r="H443" t="s">
        <v>18</v>
      </c>
      <c r="I443" t="s">
        <v>8</v>
      </c>
      <c r="J443">
        <v>1.47E-2</v>
      </c>
      <c r="K443">
        <v>1.655</v>
      </c>
      <c r="L443">
        <v>0.35</v>
      </c>
      <c r="N443" s="41">
        <v>0.15</v>
      </c>
      <c r="O443">
        <v>23.680000000000003</v>
      </c>
      <c r="P443">
        <v>23.616666666666664</v>
      </c>
      <c r="Q443" s="27">
        <v>2.8894506916916107</v>
      </c>
      <c r="R443" s="27">
        <v>1.2376433417556738</v>
      </c>
      <c r="S443" s="27">
        <v>434.303</v>
      </c>
      <c r="T443" s="27">
        <v>395.64699999999999</v>
      </c>
      <c r="U443" s="27">
        <v>467.14499999999998</v>
      </c>
      <c r="V443" s="27">
        <v>517.52700000000004</v>
      </c>
      <c r="W443" s="27">
        <v>487.58600000000001</v>
      </c>
      <c r="X443" s="27">
        <v>354.79599999999999</v>
      </c>
      <c r="Y443" s="27">
        <v>458.06099999999998</v>
      </c>
      <c r="Z443" s="27">
        <v>946.92</v>
      </c>
      <c r="AC443">
        <f t="shared" si="24"/>
        <v>7</v>
      </c>
      <c r="AD443">
        <f t="shared" si="25"/>
        <v>30</v>
      </c>
      <c r="AE443">
        <f t="shared" si="26"/>
        <v>2024</v>
      </c>
      <c r="AG443" s="19">
        <v>45503</v>
      </c>
    </row>
    <row r="444" spans="1:33" x14ac:dyDescent="0.25">
      <c r="A444" s="25">
        <v>10443</v>
      </c>
      <c r="B444" t="s">
        <v>606</v>
      </c>
      <c r="C444" t="s">
        <v>606</v>
      </c>
      <c r="D444" s="27" t="s">
        <v>480</v>
      </c>
      <c r="E444" s="27">
        <v>10</v>
      </c>
      <c r="F444" s="56"/>
      <c r="G444" s="56"/>
      <c r="H444" t="s">
        <v>18</v>
      </c>
      <c r="I444" t="s">
        <v>8</v>
      </c>
      <c r="J444">
        <v>1.5800000000000002E-2</v>
      </c>
      <c r="K444">
        <v>1.7310000000000001</v>
      </c>
      <c r="L444">
        <v>0.29699999999999999</v>
      </c>
      <c r="N444">
        <v>9.2149737468192661E-2</v>
      </c>
      <c r="O444">
        <v>17.753333333333334</v>
      </c>
      <c r="P444">
        <v>24.91</v>
      </c>
      <c r="Q444" s="27">
        <v>3.2393414772267617</v>
      </c>
      <c r="R444" s="27">
        <v>1.3270351962568907</v>
      </c>
      <c r="S444" s="27">
        <v>471.226</v>
      </c>
      <c r="T444" s="27">
        <v>439.84100000000001</v>
      </c>
      <c r="U444" s="27">
        <v>511.762</v>
      </c>
      <c r="V444" s="27">
        <v>569.77499999999998</v>
      </c>
      <c r="W444" s="27">
        <v>543.50099999999998</v>
      </c>
      <c r="X444" s="27">
        <v>428.70400000000001</v>
      </c>
      <c r="Y444" s="27">
        <v>482.38600000000002</v>
      </c>
      <c r="Z444" s="27">
        <v>890.67</v>
      </c>
      <c r="AC444">
        <f t="shared" si="24"/>
        <v>7</v>
      </c>
      <c r="AD444">
        <f t="shared" si="25"/>
        <v>30</v>
      </c>
      <c r="AE444">
        <f t="shared" si="26"/>
        <v>2024</v>
      </c>
      <c r="AG444" s="19">
        <v>45503</v>
      </c>
    </row>
    <row r="445" spans="1:33" x14ac:dyDescent="0.25">
      <c r="A445" s="25">
        <v>10444</v>
      </c>
      <c r="B445" t="s">
        <v>607</v>
      </c>
      <c r="C445" t="s">
        <v>607</v>
      </c>
      <c r="D445" s="27" t="s">
        <v>481</v>
      </c>
      <c r="E445" s="27">
        <v>11</v>
      </c>
      <c r="F445" s="56"/>
      <c r="G445" s="56"/>
      <c r="H445" t="s">
        <v>18</v>
      </c>
      <c r="I445" t="s">
        <v>8</v>
      </c>
      <c r="J445">
        <v>0.14829999999999999</v>
      </c>
      <c r="K445">
        <v>1.2889999999999999</v>
      </c>
      <c r="L445">
        <v>0.28499999999999998</v>
      </c>
      <c r="N445" s="41">
        <v>0.15</v>
      </c>
      <c r="O445">
        <v>13.683333333333332</v>
      </c>
      <c r="P445">
        <v>23.403333333333332</v>
      </c>
      <c r="Q445" s="27">
        <v>3.0537780114877435</v>
      </c>
      <c r="R445" s="27">
        <v>1.1357406633739253</v>
      </c>
      <c r="S445" s="27">
        <v>442.28</v>
      </c>
      <c r="T445" s="27">
        <v>395.70600000000002</v>
      </c>
      <c r="U445" s="27">
        <v>464.88799999999998</v>
      </c>
      <c r="V445" s="27">
        <v>501.69</v>
      </c>
      <c r="W445" s="27">
        <v>480.565</v>
      </c>
      <c r="X445" s="27">
        <v>351.786</v>
      </c>
      <c r="Y445" s="27">
        <v>449.214</v>
      </c>
      <c r="Z445" s="27">
        <v>871.75800000000004</v>
      </c>
      <c r="AC445">
        <f t="shared" si="24"/>
        <v>7</v>
      </c>
      <c r="AD445">
        <f t="shared" si="25"/>
        <v>30</v>
      </c>
      <c r="AE445">
        <f t="shared" si="26"/>
        <v>2024</v>
      </c>
      <c r="AG445" s="19">
        <v>45503</v>
      </c>
    </row>
    <row r="446" spans="1:33" x14ac:dyDescent="0.25">
      <c r="A446" s="25">
        <v>10445</v>
      </c>
      <c r="B446" t="s">
        <v>608</v>
      </c>
      <c r="C446" t="s">
        <v>608</v>
      </c>
      <c r="D446" s="27" t="s">
        <v>482</v>
      </c>
      <c r="E446" s="27">
        <v>12</v>
      </c>
      <c r="F446" s="56"/>
      <c r="G446" s="56"/>
      <c r="H446" t="s">
        <v>18</v>
      </c>
      <c r="I446" t="s">
        <v>8</v>
      </c>
      <c r="J446">
        <v>4.4999999999999997E-3</v>
      </c>
      <c r="K446">
        <v>1.6890000000000001</v>
      </c>
      <c r="L446">
        <v>0.218</v>
      </c>
      <c r="N446" s="41">
        <v>0.15</v>
      </c>
      <c r="O446">
        <v>21.243333333333336</v>
      </c>
      <c r="P446">
        <v>26.656666666666666</v>
      </c>
      <c r="Q446" s="27">
        <v>3.5654680042067799</v>
      </c>
      <c r="R446" s="27">
        <v>1.3587158309221075</v>
      </c>
      <c r="S446" s="27">
        <v>446.238</v>
      </c>
      <c r="T446" s="27">
        <v>432.32799999999997</v>
      </c>
      <c r="U446" s="27">
        <v>505.02100000000002</v>
      </c>
      <c r="V446" s="27">
        <v>543.13400000000001</v>
      </c>
      <c r="W446" s="27">
        <v>515.34500000000003</v>
      </c>
      <c r="X446" s="27">
        <v>425.21300000000002</v>
      </c>
      <c r="Y446" s="27">
        <v>484.92</v>
      </c>
      <c r="Z446" s="27">
        <v>943.98800000000006</v>
      </c>
      <c r="AC446">
        <f t="shared" si="24"/>
        <v>7</v>
      </c>
      <c r="AD446">
        <f t="shared" si="25"/>
        <v>30</v>
      </c>
      <c r="AE446">
        <f t="shared" si="26"/>
        <v>2024</v>
      </c>
      <c r="AG446" s="19">
        <v>45503</v>
      </c>
    </row>
    <row r="447" spans="1:33" x14ac:dyDescent="0.25">
      <c r="A447" s="25">
        <v>10446</v>
      </c>
      <c r="B447" t="s">
        <v>609</v>
      </c>
      <c r="C447" t="s">
        <v>609</v>
      </c>
      <c r="D447" s="27" t="s">
        <v>483</v>
      </c>
      <c r="E447" s="27">
        <v>14</v>
      </c>
      <c r="F447" s="56"/>
      <c r="G447" s="56"/>
      <c r="H447" t="s">
        <v>18</v>
      </c>
      <c r="I447" t="s">
        <v>8</v>
      </c>
      <c r="J447">
        <v>1.1299999999999999E-2</v>
      </c>
      <c r="K447">
        <v>1.7310000000000001</v>
      </c>
      <c r="L447">
        <v>0.32400000000000001</v>
      </c>
      <c r="N447" s="41">
        <v>0.15</v>
      </c>
      <c r="O447">
        <v>3.0933333333333333</v>
      </c>
      <c r="P447">
        <v>3.9266666666666663</v>
      </c>
      <c r="Q447" s="27">
        <v>2.9445635466386215</v>
      </c>
      <c r="R447" s="27">
        <v>1.3010046110861073</v>
      </c>
      <c r="S447" s="27">
        <v>520.85299999999995</v>
      </c>
      <c r="T447" s="27">
        <v>538.327</v>
      </c>
      <c r="U447" s="27">
        <v>610.27099999999996</v>
      </c>
      <c r="V447" s="27">
        <v>664.04300000000001</v>
      </c>
      <c r="W447" s="27">
        <v>655.10299999999995</v>
      </c>
      <c r="X447" s="27">
        <v>559.78399999999999</v>
      </c>
      <c r="Y447" s="27">
        <v>606.548</v>
      </c>
      <c r="Z447" s="27">
        <v>1079.77</v>
      </c>
      <c r="AC447">
        <f t="shared" si="24"/>
        <v>7</v>
      </c>
      <c r="AD447">
        <f t="shared" si="25"/>
        <v>30</v>
      </c>
      <c r="AE447">
        <f t="shared" si="26"/>
        <v>2024</v>
      </c>
      <c r="AG447" s="19">
        <v>45503</v>
      </c>
    </row>
    <row r="448" spans="1:33" x14ac:dyDescent="0.25">
      <c r="A448" s="25">
        <v>10447</v>
      </c>
      <c r="B448" t="s">
        <v>610</v>
      </c>
      <c r="C448" t="s">
        <v>610</v>
      </c>
      <c r="D448" s="27" t="s">
        <v>484</v>
      </c>
      <c r="E448" s="27">
        <v>15</v>
      </c>
      <c r="F448" s="56"/>
      <c r="G448" s="56"/>
      <c r="H448" t="s">
        <v>18</v>
      </c>
      <c r="I448" t="s">
        <v>8</v>
      </c>
      <c r="J448">
        <v>-5.0000000000000001E-4</v>
      </c>
      <c r="K448">
        <v>1.782</v>
      </c>
      <c r="L448">
        <v>0.23100000000000001</v>
      </c>
      <c r="N448" s="41">
        <v>0.15</v>
      </c>
      <c r="O448">
        <v>5.57</v>
      </c>
      <c r="P448">
        <v>8.8866666666666667</v>
      </c>
      <c r="Q448" s="27">
        <v>3.2732181862308876</v>
      </c>
      <c r="R448" s="27">
        <v>1.442861210892779</v>
      </c>
      <c r="S448" s="27">
        <v>527.76599999999996</v>
      </c>
      <c r="T448" s="27">
        <v>516.33799999999997</v>
      </c>
      <c r="U448" s="27">
        <v>594.10299999999995</v>
      </c>
      <c r="V448" s="27">
        <v>646.22199999999998</v>
      </c>
      <c r="W448" s="27">
        <v>646.27599999999995</v>
      </c>
      <c r="X448" s="27">
        <v>536.85199999999998</v>
      </c>
      <c r="Y448" s="27">
        <v>580.75599999999997</v>
      </c>
      <c r="Z448" s="27">
        <v>1027.29</v>
      </c>
      <c r="AC448">
        <f t="shared" si="24"/>
        <v>7</v>
      </c>
      <c r="AD448">
        <f t="shared" si="25"/>
        <v>30</v>
      </c>
      <c r="AE448">
        <f t="shared" si="26"/>
        <v>2024</v>
      </c>
      <c r="AG448" s="19">
        <v>45503</v>
      </c>
    </row>
    <row r="449" spans="1:33" x14ac:dyDescent="0.25">
      <c r="A449" s="25">
        <v>10448</v>
      </c>
      <c r="B449" t="s">
        <v>587</v>
      </c>
      <c r="C449" t="s">
        <v>587</v>
      </c>
      <c r="D449" s="27" t="s">
        <v>456</v>
      </c>
      <c r="E449" s="27">
        <v>1</v>
      </c>
      <c r="F449" s="56"/>
      <c r="G449" s="56"/>
      <c r="H449" t="s">
        <v>17</v>
      </c>
      <c r="I449" t="s">
        <v>8</v>
      </c>
      <c r="J449">
        <v>-2.3999999999999998E-3</v>
      </c>
      <c r="K449">
        <v>1.079</v>
      </c>
      <c r="L449">
        <v>-2E-3</v>
      </c>
      <c r="N449" s="41">
        <v>0.15</v>
      </c>
      <c r="O449">
        <v>25.853333333333335</v>
      </c>
      <c r="P449">
        <v>39.36</v>
      </c>
      <c r="Q449">
        <v>2.5560183416919826</v>
      </c>
      <c r="R449">
        <v>0.93985472352581101</v>
      </c>
      <c r="S449">
        <v>225.107</v>
      </c>
      <c r="T449">
        <v>267.72199999999998</v>
      </c>
      <c r="U449">
        <v>392.904</v>
      </c>
      <c r="V449">
        <v>432.37</v>
      </c>
      <c r="W449">
        <v>333.14100000000002</v>
      </c>
      <c r="X449">
        <v>303.06099999999998</v>
      </c>
      <c r="Y449">
        <v>374.19200000000001</v>
      </c>
      <c r="Z449">
        <v>601.81799999999998</v>
      </c>
      <c r="AC449">
        <f t="shared" si="24"/>
        <v>7</v>
      </c>
      <c r="AD449">
        <f t="shared" si="25"/>
        <v>31</v>
      </c>
      <c r="AE449">
        <f t="shared" si="26"/>
        <v>2024</v>
      </c>
      <c r="AG449" s="19">
        <v>45504</v>
      </c>
    </row>
    <row r="450" spans="1:33" x14ac:dyDescent="0.25">
      <c r="A450" s="25">
        <v>10449</v>
      </c>
      <c r="B450" t="s">
        <v>588</v>
      </c>
      <c r="C450" t="s">
        <v>588</v>
      </c>
      <c r="D450" s="27" t="s">
        <v>457</v>
      </c>
      <c r="E450" s="27">
        <v>2</v>
      </c>
      <c r="F450" s="56"/>
      <c r="G450" s="56"/>
      <c r="H450" t="s">
        <v>17</v>
      </c>
      <c r="I450" t="s">
        <v>8</v>
      </c>
      <c r="J450">
        <v>-2.2000000000000001E-3</v>
      </c>
      <c r="K450">
        <v>0.97799999999999998</v>
      </c>
      <c r="L450">
        <v>-3.0000000000000001E-3</v>
      </c>
      <c r="N450" s="41">
        <v>0.15</v>
      </c>
      <c r="O450">
        <v>7.94</v>
      </c>
      <c r="P450">
        <v>7.4366666666666665</v>
      </c>
      <c r="Q450">
        <v>2.666388132818279</v>
      </c>
      <c r="R450">
        <v>0.95454560293817592</v>
      </c>
      <c r="S450">
        <v>185.892</v>
      </c>
      <c r="T450">
        <v>220.14099999999999</v>
      </c>
      <c r="U450">
        <v>360.21699999999998</v>
      </c>
      <c r="V450">
        <v>392.858</v>
      </c>
      <c r="W450">
        <v>277.68700000000001</v>
      </c>
      <c r="X450">
        <v>243.15100000000001</v>
      </c>
      <c r="Y450">
        <v>307.45800000000003</v>
      </c>
      <c r="Z450">
        <v>506.95</v>
      </c>
      <c r="AC450">
        <f t="shared" si="24"/>
        <v>7</v>
      </c>
      <c r="AD450">
        <f t="shared" si="25"/>
        <v>31</v>
      </c>
      <c r="AE450">
        <f t="shared" si="26"/>
        <v>2024</v>
      </c>
      <c r="AG450" s="19">
        <v>45504</v>
      </c>
    </row>
    <row r="451" spans="1:33" x14ac:dyDescent="0.25">
      <c r="A451" s="25">
        <v>10450</v>
      </c>
      <c r="B451" t="s">
        <v>589</v>
      </c>
      <c r="C451" t="s">
        <v>589</v>
      </c>
      <c r="D451" s="27" t="s">
        <v>458</v>
      </c>
      <c r="E451" s="27">
        <v>3</v>
      </c>
      <c r="F451" s="56"/>
      <c r="G451" s="56"/>
      <c r="H451" t="s">
        <v>17</v>
      </c>
      <c r="I451" t="s">
        <v>8</v>
      </c>
      <c r="J451">
        <v>-3.7000000000000002E-3</v>
      </c>
      <c r="K451">
        <v>0.94699999999999995</v>
      </c>
      <c r="L451">
        <v>-2E-3</v>
      </c>
      <c r="N451" s="41">
        <v>0.15</v>
      </c>
      <c r="O451">
        <v>5.9633333333333338</v>
      </c>
      <c r="P451">
        <v>8.1933333333333334</v>
      </c>
      <c r="Q451">
        <v>2.4463416104785671</v>
      </c>
      <c r="R451">
        <v>0.87007304631707816</v>
      </c>
      <c r="S451">
        <v>183.7</v>
      </c>
      <c r="T451">
        <v>218.846</v>
      </c>
      <c r="U451">
        <v>342.99799999999999</v>
      </c>
      <c r="V451">
        <v>370.11399999999998</v>
      </c>
      <c r="W451">
        <v>275.61900000000003</v>
      </c>
      <c r="X451">
        <v>240.69900000000001</v>
      </c>
      <c r="Y451">
        <v>334.36599999999999</v>
      </c>
      <c r="Z451">
        <v>491.15899999999999</v>
      </c>
      <c r="AC451">
        <f t="shared" si="24"/>
        <v>7</v>
      </c>
      <c r="AD451">
        <f t="shared" si="25"/>
        <v>31</v>
      </c>
      <c r="AE451">
        <f t="shared" si="26"/>
        <v>2024</v>
      </c>
      <c r="AG451" s="19">
        <v>45504</v>
      </c>
    </row>
    <row r="452" spans="1:33" x14ac:dyDescent="0.25">
      <c r="A452" s="25">
        <v>10451</v>
      </c>
      <c r="B452" t="s">
        <v>590</v>
      </c>
      <c r="C452" t="s">
        <v>590</v>
      </c>
      <c r="D452" s="27" t="s">
        <v>459</v>
      </c>
      <c r="E452" s="27">
        <v>4</v>
      </c>
      <c r="F452" s="56"/>
      <c r="G452" s="56"/>
      <c r="H452" t="s">
        <v>17</v>
      </c>
      <c r="I452" t="s">
        <v>8</v>
      </c>
      <c r="J452">
        <v>0</v>
      </c>
      <c r="K452">
        <v>0.83699999999999997</v>
      </c>
      <c r="L452">
        <v>0</v>
      </c>
      <c r="N452" s="41">
        <v>0.15</v>
      </c>
      <c r="O452">
        <v>5.4933333333333332</v>
      </c>
      <c r="P452">
        <v>7.580000000000001</v>
      </c>
      <c r="Q452">
        <v>2.5024794634219298</v>
      </c>
      <c r="R452">
        <v>0.62604121607835139</v>
      </c>
      <c r="S452">
        <v>186.07400000000001</v>
      </c>
      <c r="T452">
        <v>226.77199999999999</v>
      </c>
      <c r="U452">
        <v>344.74</v>
      </c>
      <c r="V452">
        <v>366.99099999999999</v>
      </c>
      <c r="W452">
        <v>269.41699999999997</v>
      </c>
      <c r="X452">
        <v>253.66900000000001</v>
      </c>
      <c r="Y452">
        <v>325.428</v>
      </c>
      <c r="Z452">
        <v>529.79999999999995</v>
      </c>
      <c r="AC452">
        <f t="shared" si="24"/>
        <v>7</v>
      </c>
      <c r="AD452">
        <f t="shared" si="25"/>
        <v>31</v>
      </c>
      <c r="AE452">
        <f t="shared" si="26"/>
        <v>2024</v>
      </c>
      <c r="AG452" s="19">
        <v>45504</v>
      </c>
    </row>
    <row r="453" spans="1:33" x14ac:dyDescent="0.25">
      <c r="A453" s="25">
        <v>10452</v>
      </c>
      <c r="B453" t="s">
        <v>591</v>
      </c>
      <c r="C453" t="s">
        <v>591</v>
      </c>
      <c r="D453" s="27" t="s">
        <v>460</v>
      </c>
      <c r="E453" s="27">
        <v>5</v>
      </c>
      <c r="F453" s="56"/>
      <c r="G453" s="56"/>
      <c r="H453" t="s">
        <v>17</v>
      </c>
      <c r="I453" t="s">
        <v>8</v>
      </c>
      <c r="J453">
        <v>3.9100000000000003E-2</v>
      </c>
      <c r="K453">
        <v>0.70899999999999996</v>
      </c>
      <c r="L453">
        <v>4.0000000000000001E-3</v>
      </c>
      <c r="N453">
        <v>8.77959292077857E-2</v>
      </c>
      <c r="O453">
        <v>13.326666666666668</v>
      </c>
      <c r="P453">
        <v>20.836666666666666</v>
      </c>
      <c r="Q453">
        <v>2.585126858032984</v>
      </c>
      <c r="R453">
        <v>0.84109936747602521</v>
      </c>
      <c r="S453">
        <v>154.68899999999999</v>
      </c>
      <c r="T453">
        <v>197.351</v>
      </c>
      <c r="U453">
        <v>315.70800000000003</v>
      </c>
      <c r="V453">
        <v>338.98200000000003</v>
      </c>
      <c r="W453">
        <v>241.45099999999999</v>
      </c>
      <c r="X453">
        <v>226.45699999999999</v>
      </c>
      <c r="Y453">
        <v>318.12400000000002</v>
      </c>
      <c r="Z453">
        <v>559.70000000000005</v>
      </c>
      <c r="AC453">
        <f t="shared" si="24"/>
        <v>7</v>
      </c>
      <c r="AD453">
        <f t="shared" si="25"/>
        <v>31</v>
      </c>
      <c r="AE453">
        <f t="shared" si="26"/>
        <v>2024</v>
      </c>
      <c r="AG453" s="19">
        <v>45504</v>
      </c>
    </row>
    <row r="454" spans="1:33" x14ac:dyDescent="0.25">
      <c r="A454" s="25">
        <v>10453</v>
      </c>
      <c r="B454" t="s">
        <v>592</v>
      </c>
      <c r="C454" t="s">
        <v>592</v>
      </c>
      <c r="D454" s="27" t="s">
        <v>461</v>
      </c>
      <c r="E454" s="27">
        <v>6</v>
      </c>
      <c r="F454" s="56"/>
      <c r="G454" s="56"/>
      <c r="H454" t="s">
        <v>17</v>
      </c>
      <c r="I454" t="s">
        <v>8</v>
      </c>
      <c r="J454">
        <v>9.06E-2</v>
      </c>
      <c r="K454">
        <v>0.69</v>
      </c>
      <c r="L454">
        <v>6.0000000000000001E-3</v>
      </c>
      <c r="N454">
        <v>0.34371314295176802</v>
      </c>
      <c r="O454">
        <v>12.649999999999999</v>
      </c>
      <c r="P454">
        <v>20.07</v>
      </c>
      <c r="Q454">
        <v>2.523791055743017</v>
      </c>
      <c r="R454">
        <v>0.75091369108345241</v>
      </c>
      <c r="S454">
        <v>153.16399999999999</v>
      </c>
      <c r="T454">
        <v>208.56</v>
      </c>
      <c r="U454">
        <v>337.90800000000002</v>
      </c>
      <c r="V454">
        <v>374.96199999999999</v>
      </c>
      <c r="W454">
        <v>257.35300000000001</v>
      </c>
      <c r="X454">
        <v>244.905</v>
      </c>
      <c r="Y454">
        <v>342.30500000000001</v>
      </c>
      <c r="Z454">
        <v>526.12</v>
      </c>
      <c r="AC454">
        <f t="shared" si="24"/>
        <v>7</v>
      </c>
      <c r="AD454">
        <f t="shared" si="25"/>
        <v>31</v>
      </c>
      <c r="AE454">
        <f t="shared" si="26"/>
        <v>2024</v>
      </c>
      <c r="AG454" s="19">
        <v>45504</v>
      </c>
    </row>
    <row r="455" spans="1:33" x14ac:dyDescent="0.25">
      <c r="A455" s="25">
        <v>10454</v>
      </c>
      <c r="B455" t="s">
        <v>593</v>
      </c>
      <c r="C455" t="s">
        <v>593</v>
      </c>
      <c r="D455" s="27" t="s">
        <v>462</v>
      </c>
      <c r="E455" s="27">
        <v>7</v>
      </c>
      <c r="F455" s="56"/>
      <c r="G455" s="56"/>
      <c r="H455" t="s">
        <v>17</v>
      </c>
      <c r="I455" t="s">
        <v>8</v>
      </c>
      <c r="J455">
        <v>1.6000000000000001E-3</v>
      </c>
      <c r="K455">
        <v>1.04</v>
      </c>
      <c r="L455">
        <v>-4.0000000000000001E-3</v>
      </c>
      <c r="N455" s="41">
        <v>0.15</v>
      </c>
      <c r="O455">
        <v>12.0375</v>
      </c>
      <c r="P455">
        <v>17.862499999999997</v>
      </c>
      <c r="Q455">
        <v>2.4588166889104244</v>
      </c>
      <c r="R455">
        <v>0.66861756104196424</v>
      </c>
      <c r="S455">
        <v>174.334</v>
      </c>
      <c r="T455">
        <v>201.387</v>
      </c>
      <c r="U455">
        <v>330.42099999999999</v>
      </c>
      <c r="V455">
        <v>361.07499999999999</v>
      </c>
      <c r="W455">
        <v>255.08699999999999</v>
      </c>
      <c r="X455">
        <v>227.13</v>
      </c>
      <c r="Y455">
        <v>275.709</v>
      </c>
      <c r="Z455">
        <v>490.36500000000001</v>
      </c>
      <c r="AC455">
        <f t="shared" si="24"/>
        <v>7</v>
      </c>
      <c r="AD455">
        <f t="shared" si="25"/>
        <v>31</v>
      </c>
      <c r="AE455">
        <f t="shared" si="26"/>
        <v>2024</v>
      </c>
      <c r="AG455" s="19">
        <v>45504</v>
      </c>
    </row>
    <row r="456" spans="1:33" x14ac:dyDescent="0.25">
      <c r="A456" s="25">
        <v>10455</v>
      </c>
      <c r="B456" t="s">
        <v>594</v>
      </c>
      <c r="C456" t="s">
        <v>594</v>
      </c>
      <c r="D456" s="27" t="s">
        <v>463</v>
      </c>
      <c r="E456" s="27">
        <v>8</v>
      </c>
      <c r="F456" s="56"/>
      <c r="G456" s="56"/>
      <c r="H456" t="s">
        <v>17</v>
      </c>
      <c r="I456" t="s">
        <v>8</v>
      </c>
      <c r="J456">
        <v>-2.9999999999999997E-4</v>
      </c>
      <c r="K456">
        <v>1.1379999999999999</v>
      </c>
      <c r="L456">
        <v>-4.0000000000000001E-3</v>
      </c>
      <c r="N456">
        <v>5.6445123686393921E-2</v>
      </c>
      <c r="O456">
        <v>2.9299999999999997</v>
      </c>
      <c r="P456">
        <v>4.47</v>
      </c>
      <c r="Q456">
        <v>2.4674799378214369</v>
      </c>
      <c r="R456">
        <v>0.98555968169761277</v>
      </c>
      <c r="S456">
        <v>209.631</v>
      </c>
      <c r="T456">
        <v>268.05900000000003</v>
      </c>
      <c r="U456">
        <v>407.928</v>
      </c>
      <c r="V456">
        <v>448.68299999999999</v>
      </c>
      <c r="W456">
        <v>311.74799999999999</v>
      </c>
      <c r="X456">
        <v>301.322</v>
      </c>
      <c r="Y456">
        <v>336.875</v>
      </c>
      <c r="Z456">
        <v>567.173</v>
      </c>
      <c r="AC456">
        <f t="shared" si="24"/>
        <v>7</v>
      </c>
      <c r="AD456">
        <f t="shared" si="25"/>
        <v>31</v>
      </c>
      <c r="AE456">
        <f t="shared" si="26"/>
        <v>2024</v>
      </c>
      <c r="AG456" s="19">
        <v>45504</v>
      </c>
    </row>
    <row r="457" spans="1:33" x14ac:dyDescent="0.25">
      <c r="A457" s="25">
        <v>10456</v>
      </c>
      <c r="B457" t="s">
        <v>595</v>
      </c>
      <c r="C457" t="s">
        <v>595</v>
      </c>
      <c r="D457" s="27" t="s">
        <v>464</v>
      </c>
      <c r="E457" s="27">
        <v>9</v>
      </c>
      <c r="F457" s="56"/>
      <c r="G457" s="56"/>
      <c r="H457" t="s">
        <v>17</v>
      </c>
      <c r="I457" t="s">
        <v>8</v>
      </c>
      <c r="J457">
        <v>3.3E-3</v>
      </c>
      <c r="K457">
        <v>1.1120000000000001</v>
      </c>
      <c r="L457">
        <v>-4.0000000000000001E-3</v>
      </c>
      <c r="N457" s="41">
        <v>0.15</v>
      </c>
      <c r="O457">
        <v>4.4766666666666666</v>
      </c>
      <c r="P457">
        <v>7.5433333333333339</v>
      </c>
      <c r="Q457">
        <v>2.49104397485939</v>
      </c>
      <c r="R457">
        <v>1.0104525607018977</v>
      </c>
      <c r="S457">
        <v>196.13800000000001</v>
      </c>
      <c r="T457">
        <v>278.54599999999999</v>
      </c>
      <c r="U457">
        <v>423.97899999999998</v>
      </c>
      <c r="V457">
        <v>474.42500000000001</v>
      </c>
      <c r="W457">
        <v>325.35500000000002</v>
      </c>
      <c r="X457">
        <v>315.23399999999998</v>
      </c>
      <c r="Y457">
        <v>340.61700000000002</v>
      </c>
      <c r="Z457">
        <v>537.11400000000003</v>
      </c>
      <c r="AC457">
        <f t="shared" si="24"/>
        <v>7</v>
      </c>
      <c r="AD457">
        <f t="shared" si="25"/>
        <v>31</v>
      </c>
      <c r="AE457">
        <f t="shared" si="26"/>
        <v>2024</v>
      </c>
      <c r="AG457" s="19">
        <v>45504</v>
      </c>
    </row>
    <row r="458" spans="1:33" x14ac:dyDescent="0.25">
      <c r="A458" s="25">
        <v>10457</v>
      </c>
      <c r="B458" t="s">
        <v>596</v>
      </c>
      <c r="C458" t="s">
        <v>596</v>
      </c>
      <c r="D458" s="27" t="s">
        <v>465</v>
      </c>
      <c r="E458" s="27">
        <v>10</v>
      </c>
      <c r="F458" s="56"/>
      <c r="G458" s="56"/>
      <c r="H458" t="s">
        <v>17</v>
      </c>
      <c r="I458" t="s">
        <v>8</v>
      </c>
      <c r="J458">
        <v>-4.5999999999999999E-3</v>
      </c>
      <c r="K458">
        <v>1.1020000000000001</v>
      </c>
      <c r="L458">
        <v>-3.0000000000000001E-3</v>
      </c>
      <c r="N458" s="41">
        <v>0.15</v>
      </c>
      <c r="O458">
        <v>8.82</v>
      </c>
      <c r="P458">
        <v>14.965</v>
      </c>
      <c r="Q458">
        <v>2.638145941368379</v>
      </c>
      <c r="R458">
        <v>1.0020869210365231</v>
      </c>
      <c r="S458">
        <v>217.255</v>
      </c>
      <c r="T458">
        <v>279.26299999999998</v>
      </c>
      <c r="U458">
        <v>414.24200000000002</v>
      </c>
      <c r="V458">
        <v>457.37700000000001</v>
      </c>
      <c r="W458">
        <v>320.96699999999998</v>
      </c>
      <c r="X458">
        <v>316.34300000000002</v>
      </c>
      <c r="Y458">
        <v>341.315</v>
      </c>
      <c r="Z458">
        <v>582.01400000000001</v>
      </c>
      <c r="AC458">
        <f t="shared" si="24"/>
        <v>7</v>
      </c>
      <c r="AD458">
        <f t="shared" si="25"/>
        <v>31</v>
      </c>
      <c r="AE458">
        <f t="shared" si="26"/>
        <v>2024</v>
      </c>
      <c r="AG458" s="19">
        <v>45504</v>
      </c>
    </row>
    <row r="459" spans="1:33" x14ac:dyDescent="0.25">
      <c r="A459" s="25">
        <v>10458</v>
      </c>
      <c r="B459" t="s">
        <v>597</v>
      </c>
      <c r="C459" t="s">
        <v>597</v>
      </c>
      <c r="D459" s="27" t="s">
        <v>466</v>
      </c>
      <c r="E459" s="27">
        <v>11</v>
      </c>
      <c r="F459" s="56"/>
      <c r="G459" s="56"/>
      <c r="H459" t="s">
        <v>17</v>
      </c>
      <c r="I459" t="s">
        <v>8</v>
      </c>
      <c r="J459">
        <v>-4.1000000000000003E-3</v>
      </c>
      <c r="K459">
        <v>1.167</v>
      </c>
      <c r="L459">
        <v>-2E-3</v>
      </c>
      <c r="N459" s="41">
        <v>0.15</v>
      </c>
      <c r="O459">
        <v>8.1433333333333326</v>
      </c>
      <c r="P459">
        <v>11.76</v>
      </c>
      <c r="Q459">
        <v>2.4177528890722266</v>
      </c>
      <c r="R459">
        <v>0.95699408284023668</v>
      </c>
      <c r="S459">
        <v>206.40100000000001</v>
      </c>
      <c r="T459">
        <v>267.863</v>
      </c>
      <c r="U459">
        <v>415.12299999999999</v>
      </c>
      <c r="V459">
        <v>461.45699999999999</v>
      </c>
      <c r="W459">
        <v>318.94200000000001</v>
      </c>
      <c r="X459">
        <v>299.48500000000001</v>
      </c>
      <c r="Y459">
        <v>330.57</v>
      </c>
      <c r="Z459">
        <v>530.96</v>
      </c>
      <c r="AC459">
        <f t="shared" si="24"/>
        <v>7</v>
      </c>
      <c r="AD459">
        <f t="shared" si="25"/>
        <v>31</v>
      </c>
      <c r="AE459">
        <f t="shared" si="26"/>
        <v>2024</v>
      </c>
      <c r="AG459" s="19">
        <v>45504</v>
      </c>
    </row>
    <row r="460" spans="1:33" x14ac:dyDescent="0.25">
      <c r="A460" s="25">
        <v>10459</v>
      </c>
      <c r="B460" t="s">
        <v>598</v>
      </c>
      <c r="C460" t="s">
        <v>598</v>
      </c>
      <c r="D460" s="27" t="s">
        <v>467</v>
      </c>
      <c r="E460" s="27">
        <v>12</v>
      </c>
      <c r="F460" s="56"/>
      <c r="G460" s="56"/>
      <c r="H460" t="s">
        <v>17</v>
      </c>
      <c r="I460" t="s">
        <v>8</v>
      </c>
      <c r="J460">
        <v>4.5999999999999999E-3</v>
      </c>
      <c r="K460">
        <v>1.091</v>
      </c>
      <c r="L460">
        <v>-1E-3</v>
      </c>
      <c r="N460" s="41">
        <v>0.15</v>
      </c>
      <c r="O460">
        <v>2.3233333333333337</v>
      </c>
      <c r="P460">
        <v>3.22</v>
      </c>
      <c r="Q460">
        <v>2.3798078588419926</v>
      </c>
      <c r="R460">
        <v>0.97168496225260148</v>
      </c>
      <c r="AC460">
        <f t="shared" si="24"/>
        <v>7</v>
      </c>
      <c r="AD460">
        <f t="shared" si="25"/>
        <v>31</v>
      </c>
      <c r="AE460">
        <f t="shared" si="26"/>
        <v>2024</v>
      </c>
      <c r="AG460" s="19">
        <v>45504</v>
      </c>
    </row>
    <row r="461" spans="1:33" x14ac:dyDescent="0.25">
      <c r="A461" s="25">
        <v>10460</v>
      </c>
      <c r="B461" t="s">
        <v>599</v>
      </c>
      <c r="C461" t="s">
        <v>599</v>
      </c>
      <c r="D461" s="27" t="s">
        <v>468</v>
      </c>
      <c r="E461" s="27">
        <v>13</v>
      </c>
      <c r="F461" s="56"/>
      <c r="G461" s="56"/>
      <c r="H461" t="s">
        <v>17</v>
      </c>
      <c r="I461" t="s">
        <v>8</v>
      </c>
      <c r="J461">
        <v>1.61E-2</v>
      </c>
      <c r="K461">
        <v>0.72799999999999998</v>
      </c>
      <c r="L461">
        <v>0</v>
      </c>
      <c r="N461" s="41">
        <v>0.15</v>
      </c>
      <c r="O461">
        <v>6.02</v>
      </c>
      <c r="P461">
        <v>8.67</v>
      </c>
      <c r="Q461">
        <v>2.5903248073795915</v>
      </c>
      <c r="R461">
        <v>0.56863796504114805</v>
      </c>
      <c r="S461">
        <v>158.00299999999999</v>
      </c>
      <c r="T461">
        <v>210.34</v>
      </c>
      <c r="U461">
        <v>334.02</v>
      </c>
      <c r="V461">
        <v>366.13499999999999</v>
      </c>
      <c r="W461">
        <v>250.458</v>
      </c>
      <c r="X461">
        <v>239.07</v>
      </c>
      <c r="Y461">
        <v>335.07100000000003</v>
      </c>
      <c r="Z461">
        <v>535.70299999999997</v>
      </c>
      <c r="AC461">
        <f t="shared" si="24"/>
        <v>7</v>
      </c>
      <c r="AD461">
        <f t="shared" si="25"/>
        <v>31</v>
      </c>
      <c r="AE461">
        <f t="shared" si="26"/>
        <v>2024</v>
      </c>
      <c r="AG461" s="19">
        <v>45504</v>
      </c>
    </row>
    <row r="462" spans="1:33" x14ac:dyDescent="0.25">
      <c r="A462" s="25">
        <v>10461</v>
      </c>
      <c r="B462" t="s">
        <v>611</v>
      </c>
      <c r="C462" t="s">
        <v>611</v>
      </c>
      <c r="D462" s="27" t="s">
        <v>485</v>
      </c>
      <c r="E462" s="27">
        <v>1</v>
      </c>
      <c r="F462" s="58"/>
      <c r="G462" s="58"/>
      <c r="H462" t="s">
        <v>19</v>
      </c>
      <c r="I462" t="s">
        <v>8</v>
      </c>
      <c r="J462">
        <v>-0.50160000000000005</v>
      </c>
      <c r="K462">
        <v>1.71</v>
      </c>
      <c r="L462">
        <v>1E-3</v>
      </c>
      <c r="N462" s="71">
        <v>0.10470732159173468</v>
      </c>
      <c r="O462">
        <v>41.19</v>
      </c>
      <c r="P462">
        <v>25.786666666666665</v>
      </c>
      <c r="Q462">
        <v>3.7785760280140366</v>
      </c>
      <c r="R462">
        <v>1.4024133850234646</v>
      </c>
      <c r="S462">
        <v>306.822</v>
      </c>
      <c r="T462">
        <v>319.16800000000001</v>
      </c>
      <c r="U462">
        <v>385.50400000000002</v>
      </c>
      <c r="V462">
        <v>425.85199999999998</v>
      </c>
      <c r="W462">
        <v>331.54399999999998</v>
      </c>
      <c r="X462">
        <v>327.13099999999997</v>
      </c>
      <c r="Y462">
        <v>378.64299999999997</v>
      </c>
      <c r="Z462">
        <v>578.59199999999998</v>
      </c>
      <c r="AC462">
        <f t="shared" ref="AC462:AC473" si="27">MONTH(AG462)</f>
        <v>8</v>
      </c>
      <c r="AD462">
        <f t="shared" ref="AD462:AD473" si="28">DAY(AG462)</f>
        <v>5</v>
      </c>
      <c r="AE462">
        <f t="shared" ref="AE462:AE473" si="29">YEAR(AG462)</f>
        <v>2024</v>
      </c>
      <c r="AG462" s="19">
        <v>45509</v>
      </c>
    </row>
    <row r="463" spans="1:33" x14ac:dyDescent="0.25">
      <c r="A463" s="25">
        <v>10462</v>
      </c>
      <c r="B463" t="s">
        <v>612</v>
      </c>
      <c r="C463" t="s">
        <v>612</v>
      </c>
      <c r="D463" s="27" t="s">
        <v>486</v>
      </c>
      <c r="E463" s="27">
        <v>2</v>
      </c>
      <c r="F463" s="58"/>
      <c r="G463" s="58"/>
      <c r="H463" t="s">
        <v>19</v>
      </c>
      <c r="I463" t="s">
        <v>8</v>
      </c>
      <c r="J463">
        <v>-0.50419999999999998</v>
      </c>
      <c r="K463">
        <v>1.716</v>
      </c>
      <c r="L463">
        <v>2E-3</v>
      </c>
      <c r="N463" s="71">
        <v>8.1577581933841486E-2</v>
      </c>
      <c r="O463">
        <v>48.23</v>
      </c>
      <c r="P463">
        <v>32.366666666666667</v>
      </c>
      <c r="Q463">
        <v>3.5540246162405982</v>
      </c>
      <c r="R463">
        <v>1.3250822281167109</v>
      </c>
      <c r="S463">
        <v>294.39499999999998</v>
      </c>
      <c r="T463">
        <v>289.44099999999997</v>
      </c>
      <c r="U463">
        <v>379.92399999999998</v>
      </c>
      <c r="V463">
        <v>421.46300000000002</v>
      </c>
      <c r="W463">
        <v>320.85700000000003</v>
      </c>
      <c r="X463">
        <v>314.30799999999999</v>
      </c>
      <c r="Y463">
        <v>364.93900000000002</v>
      </c>
      <c r="Z463">
        <v>583.846</v>
      </c>
      <c r="AC463">
        <f t="shared" si="27"/>
        <v>8</v>
      </c>
      <c r="AD463">
        <f t="shared" si="28"/>
        <v>5</v>
      </c>
      <c r="AE463">
        <f t="shared" si="29"/>
        <v>2024</v>
      </c>
      <c r="AG463" s="19">
        <v>45509</v>
      </c>
    </row>
    <row r="464" spans="1:33" x14ac:dyDescent="0.25">
      <c r="A464" s="25">
        <v>10463</v>
      </c>
      <c r="B464" t="s">
        <v>613</v>
      </c>
      <c r="C464" t="s">
        <v>613</v>
      </c>
      <c r="D464" s="27" t="s">
        <v>487</v>
      </c>
      <c r="E464" s="27">
        <v>3</v>
      </c>
      <c r="F464" s="58"/>
      <c r="G464" s="58"/>
      <c r="H464" t="s">
        <v>19</v>
      </c>
      <c r="I464" t="s">
        <v>8</v>
      </c>
      <c r="J464">
        <v>-0.51149999999999995</v>
      </c>
      <c r="K464">
        <v>1.859</v>
      </c>
      <c r="L464">
        <v>1E-3</v>
      </c>
      <c r="N464" s="71">
        <v>7.6129430220654215E-2</v>
      </c>
      <c r="O464">
        <v>25.256666666666671</v>
      </c>
      <c r="P464">
        <v>21.97</v>
      </c>
      <c r="Q464">
        <v>3.43395198633397</v>
      </c>
      <c r="R464">
        <v>1.3907831054886759</v>
      </c>
      <c r="S464">
        <v>312.46100000000001</v>
      </c>
      <c r="T464">
        <v>324.36599999999999</v>
      </c>
      <c r="U464">
        <v>382.14</v>
      </c>
      <c r="V464">
        <v>409.77199999999999</v>
      </c>
      <c r="W464">
        <v>322.923</v>
      </c>
      <c r="X464">
        <v>321.53899999999999</v>
      </c>
      <c r="Y464">
        <v>366.07</v>
      </c>
      <c r="Z464">
        <v>526.10400000000004</v>
      </c>
      <c r="AC464">
        <f t="shared" si="27"/>
        <v>8</v>
      </c>
      <c r="AD464">
        <f t="shared" si="28"/>
        <v>5</v>
      </c>
      <c r="AE464">
        <f t="shared" si="29"/>
        <v>2024</v>
      </c>
      <c r="AG464" s="19">
        <v>45509</v>
      </c>
    </row>
    <row r="465" spans="1:33" x14ac:dyDescent="0.25">
      <c r="A465" s="25">
        <v>10464</v>
      </c>
      <c r="B465" t="s">
        <v>614</v>
      </c>
      <c r="C465" t="s">
        <v>614</v>
      </c>
      <c r="D465" s="27" t="s">
        <v>488</v>
      </c>
      <c r="E465" s="27">
        <v>4</v>
      </c>
      <c r="F465" s="58"/>
      <c r="G465" s="58"/>
      <c r="H465" t="s">
        <v>19</v>
      </c>
      <c r="I465" t="s">
        <v>8</v>
      </c>
      <c r="J465">
        <v>-0.49980000000000002</v>
      </c>
      <c r="K465">
        <v>1.766</v>
      </c>
      <c r="L465">
        <v>3.0000000000000001E-3</v>
      </c>
      <c r="N465" s="71">
        <v>9.3712366947740794E-2</v>
      </c>
      <c r="O465">
        <v>21.363333333333333</v>
      </c>
      <c r="P465">
        <v>26.193333333333332</v>
      </c>
      <c r="Q465">
        <v>3.5888508768628675</v>
      </c>
      <c r="R465">
        <v>1.4319991838400328</v>
      </c>
      <c r="S465">
        <v>346.09899999999999</v>
      </c>
      <c r="T465">
        <v>326.464</v>
      </c>
      <c r="U465">
        <v>404.11900000000003</v>
      </c>
      <c r="V465">
        <v>432.959</v>
      </c>
      <c r="W465">
        <v>343.95</v>
      </c>
      <c r="X465">
        <v>343.56200000000001</v>
      </c>
      <c r="Y465">
        <v>395.78899999999999</v>
      </c>
      <c r="Z465">
        <v>625.55899999999997</v>
      </c>
      <c r="AC465">
        <f t="shared" si="27"/>
        <v>8</v>
      </c>
      <c r="AD465">
        <f t="shared" si="28"/>
        <v>5</v>
      </c>
      <c r="AE465">
        <f t="shared" si="29"/>
        <v>2024</v>
      </c>
      <c r="AG465" s="19">
        <v>45509</v>
      </c>
    </row>
    <row r="466" spans="1:33" x14ac:dyDescent="0.25">
      <c r="A466" s="25">
        <v>10465</v>
      </c>
      <c r="B466" t="s">
        <v>615</v>
      </c>
      <c r="C466" t="s">
        <v>615</v>
      </c>
      <c r="D466" s="27" t="s">
        <v>489</v>
      </c>
      <c r="E466" s="27">
        <v>5</v>
      </c>
      <c r="F466" s="58"/>
      <c r="G466" s="58"/>
      <c r="H466" t="s">
        <v>19</v>
      </c>
      <c r="I466" t="s">
        <v>8</v>
      </c>
      <c r="J466">
        <v>-0.50609999999999999</v>
      </c>
      <c r="K466">
        <v>1.673</v>
      </c>
      <c r="L466">
        <v>3.0000000000000001E-3</v>
      </c>
      <c r="N466" s="71">
        <v>0.1414688469776979</v>
      </c>
      <c r="O466">
        <v>46.716666666666669</v>
      </c>
      <c r="P466">
        <v>4.1433333333333335</v>
      </c>
      <c r="Q466">
        <v>3.4537041938510757</v>
      </c>
      <c r="R466">
        <v>1.3834376657824936</v>
      </c>
      <c r="S466">
        <v>320.66399999999999</v>
      </c>
      <c r="T466">
        <v>323.77699999999999</v>
      </c>
      <c r="U466">
        <v>391.98899999999998</v>
      </c>
      <c r="V466">
        <v>409.06299999999999</v>
      </c>
      <c r="W466">
        <v>335.96600000000001</v>
      </c>
      <c r="X466">
        <v>316.13499999999999</v>
      </c>
      <c r="Y466">
        <v>405.02199999999999</v>
      </c>
      <c r="Z466">
        <v>703.37099999999998</v>
      </c>
      <c r="AC466">
        <f t="shared" si="27"/>
        <v>8</v>
      </c>
      <c r="AD466">
        <f t="shared" si="28"/>
        <v>5</v>
      </c>
      <c r="AE466">
        <f t="shared" si="29"/>
        <v>2024</v>
      </c>
      <c r="AG466" s="19">
        <v>45509</v>
      </c>
    </row>
    <row r="467" spans="1:33" x14ac:dyDescent="0.25">
      <c r="A467" s="25">
        <v>10466</v>
      </c>
      <c r="B467" t="s">
        <v>616</v>
      </c>
      <c r="C467" t="s">
        <v>616</v>
      </c>
      <c r="D467" s="27" t="s">
        <v>490</v>
      </c>
      <c r="E467" s="27">
        <v>6</v>
      </c>
      <c r="F467" s="58"/>
      <c r="G467" s="58"/>
      <c r="H467" t="s">
        <v>19</v>
      </c>
      <c r="I467" t="s">
        <v>8</v>
      </c>
      <c r="J467">
        <v>-0.50800000000000001</v>
      </c>
      <c r="K467">
        <v>1.7909999999999999</v>
      </c>
      <c r="L467">
        <v>3.0000000000000001E-3</v>
      </c>
      <c r="N467" s="41">
        <v>0.15</v>
      </c>
      <c r="O467">
        <v>44.1</v>
      </c>
      <c r="P467">
        <v>1.5133333333333334</v>
      </c>
      <c r="Q467">
        <v>3.5155597910757033</v>
      </c>
      <c r="R467">
        <v>1.4177163844113447</v>
      </c>
      <c r="S467">
        <v>313.45499999999998</v>
      </c>
      <c r="T467">
        <v>320.49299999999999</v>
      </c>
      <c r="U467">
        <v>389.42700000000002</v>
      </c>
      <c r="V467">
        <v>402.245</v>
      </c>
      <c r="W467">
        <v>327.65800000000002</v>
      </c>
      <c r="X467">
        <v>327.33800000000002</v>
      </c>
      <c r="Y467">
        <v>392.37799999999999</v>
      </c>
      <c r="Z467">
        <v>607.67399999999998</v>
      </c>
      <c r="AC467">
        <f t="shared" si="27"/>
        <v>8</v>
      </c>
      <c r="AD467">
        <f t="shared" si="28"/>
        <v>5</v>
      </c>
      <c r="AE467">
        <f t="shared" si="29"/>
        <v>2024</v>
      </c>
      <c r="AG467" s="19">
        <v>45509</v>
      </c>
    </row>
    <row r="468" spans="1:33" x14ac:dyDescent="0.25">
      <c r="A468" s="25">
        <v>10467</v>
      </c>
      <c r="B468" t="s">
        <v>617</v>
      </c>
      <c r="C468" t="s">
        <v>617</v>
      </c>
      <c r="D468" s="27" t="s">
        <v>491</v>
      </c>
      <c r="E468" s="27">
        <v>7</v>
      </c>
      <c r="F468" s="58"/>
      <c r="G468" s="58"/>
      <c r="H468" t="s">
        <v>19</v>
      </c>
      <c r="I468" t="s">
        <v>8</v>
      </c>
      <c r="J468">
        <v>-0.50409999999999999</v>
      </c>
      <c r="K468">
        <v>1.5940000000000001</v>
      </c>
      <c r="L468">
        <v>-1E-3</v>
      </c>
      <c r="N468" s="41">
        <v>0.15</v>
      </c>
      <c r="O468">
        <v>57.353333333333332</v>
      </c>
      <c r="P468">
        <v>6.1466666666666656</v>
      </c>
      <c r="Q468">
        <v>3.5311536391155252</v>
      </c>
      <c r="R468">
        <v>1.3195731483370743</v>
      </c>
      <c r="S468">
        <v>285.58100000000002</v>
      </c>
      <c r="T468">
        <v>281.084</v>
      </c>
      <c r="U468">
        <v>350.67</v>
      </c>
      <c r="V468">
        <v>359.61399999999998</v>
      </c>
      <c r="W468">
        <v>311.99700000000001</v>
      </c>
      <c r="X468">
        <v>302.19299999999998</v>
      </c>
      <c r="Y468">
        <v>386.73399999999998</v>
      </c>
      <c r="Z468">
        <v>626.40899999999999</v>
      </c>
      <c r="AC468">
        <f t="shared" si="27"/>
        <v>8</v>
      </c>
      <c r="AD468">
        <f t="shared" si="28"/>
        <v>5</v>
      </c>
      <c r="AE468">
        <f t="shared" si="29"/>
        <v>2024</v>
      </c>
      <c r="AG468" s="19">
        <v>45509</v>
      </c>
    </row>
    <row r="469" spans="1:33" x14ac:dyDescent="0.25">
      <c r="A469" s="25">
        <v>10468</v>
      </c>
      <c r="B469" t="s">
        <v>618</v>
      </c>
      <c r="C469" t="s">
        <v>618</v>
      </c>
      <c r="D469" s="27" t="s">
        <v>492</v>
      </c>
      <c r="E469" s="27">
        <v>8</v>
      </c>
      <c r="F469" s="58"/>
      <c r="G469" s="58"/>
      <c r="H469" t="s">
        <v>19</v>
      </c>
      <c r="I469" t="s">
        <v>8</v>
      </c>
      <c r="J469">
        <v>-0.50360000000000005</v>
      </c>
      <c r="K469">
        <v>1.8220000000000001</v>
      </c>
      <c r="L469">
        <v>0</v>
      </c>
      <c r="N469" s="71">
        <v>1.9501758935540237E-2</v>
      </c>
      <c r="O469">
        <v>63.080000000000005</v>
      </c>
      <c r="P469">
        <v>7.8733333333333322</v>
      </c>
      <c r="Q469">
        <v>3.7021661726189077</v>
      </c>
      <c r="R469">
        <v>1.3748679861252806</v>
      </c>
      <c r="S469">
        <v>287.44600000000003</v>
      </c>
      <c r="T469">
        <v>268.262</v>
      </c>
      <c r="U469">
        <v>319.61900000000003</v>
      </c>
      <c r="V469">
        <v>341.06700000000001</v>
      </c>
      <c r="W469">
        <v>280.32299999999998</v>
      </c>
      <c r="X469">
        <v>272.43799999999999</v>
      </c>
      <c r="Y469">
        <v>336.99900000000002</v>
      </c>
      <c r="Z469">
        <v>594.77499999999998</v>
      </c>
      <c r="AC469">
        <f t="shared" si="27"/>
        <v>8</v>
      </c>
      <c r="AD469">
        <f t="shared" si="28"/>
        <v>5</v>
      </c>
      <c r="AE469">
        <f t="shared" si="29"/>
        <v>2024</v>
      </c>
      <c r="AG469" s="19">
        <v>45509</v>
      </c>
    </row>
    <row r="470" spans="1:33" x14ac:dyDescent="0.25">
      <c r="A470" s="25">
        <v>10469</v>
      </c>
      <c r="B470" t="s">
        <v>619</v>
      </c>
      <c r="C470" t="s">
        <v>619</v>
      </c>
      <c r="D470" s="27" t="s">
        <v>493</v>
      </c>
      <c r="E470" s="45">
        <v>9</v>
      </c>
      <c r="F470" s="58"/>
      <c r="G470" s="58"/>
      <c r="H470" t="s">
        <v>19</v>
      </c>
      <c r="I470" t="s">
        <v>8</v>
      </c>
      <c r="J470">
        <v>-0.50560000000000005</v>
      </c>
      <c r="K470">
        <v>1.7969999999999999</v>
      </c>
      <c r="L470">
        <v>3.0000000000000001E-3</v>
      </c>
      <c r="N470" s="71">
        <v>5.6293224409747253E-2</v>
      </c>
      <c r="O470">
        <v>65.913333333333341</v>
      </c>
      <c r="P470">
        <v>18.533333333333335</v>
      </c>
      <c r="Q470">
        <v>3.7401112028491417</v>
      </c>
      <c r="R470">
        <v>1.3224297082228116</v>
      </c>
      <c r="S470">
        <v>263.79599999999999</v>
      </c>
      <c r="T470">
        <v>265.11399999999998</v>
      </c>
      <c r="U470">
        <v>341.40100000000001</v>
      </c>
      <c r="V470">
        <v>360.44799999999998</v>
      </c>
      <c r="W470">
        <v>288.04899999999998</v>
      </c>
      <c r="X470">
        <v>264.97300000000001</v>
      </c>
      <c r="Y470">
        <v>361.65800000000002</v>
      </c>
      <c r="Z470">
        <v>621.76900000000001</v>
      </c>
      <c r="AC470">
        <f t="shared" si="27"/>
        <v>8</v>
      </c>
      <c r="AD470">
        <f t="shared" si="28"/>
        <v>5</v>
      </c>
      <c r="AE470">
        <f t="shared" si="29"/>
        <v>2024</v>
      </c>
      <c r="AG470" s="19">
        <v>45509</v>
      </c>
    </row>
    <row r="471" spans="1:33" x14ac:dyDescent="0.25">
      <c r="A471" s="25">
        <v>10470</v>
      </c>
      <c r="B471" t="s">
        <v>620</v>
      </c>
      <c r="C471" t="s">
        <v>620</v>
      </c>
      <c r="D471" s="27" t="s">
        <v>494</v>
      </c>
      <c r="E471" s="45">
        <v>10</v>
      </c>
      <c r="F471" s="58"/>
      <c r="G471" s="58"/>
      <c r="H471" t="s">
        <v>19</v>
      </c>
      <c r="I471" t="s">
        <v>8</v>
      </c>
      <c r="J471">
        <v>-0.49280000000000002</v>
      </c>
      <c r="K471">
        <v>1.7</v>
      </c>
      <c r="L471">
        <v>1E-3</v>
      </c>
      <c r="N471" s="71">
        <v>0.27599359118572286</v>
      </c>
      <c r="O471">
        <v>69.023333333333326</v>
      </c>
      <c r="P471">
        <v>15.673333333333334</v>
      </c>
      <c r="Q471">
        <v>3.6065239046413327</v>
      </c>
      <c r="R471">
        <v>1.2922317894307285</v>
      </c>
      <c r="S471">
        <v>271.00799999999998</v>
      </c>
      <c r="T471">
        <v>297.221</v>
      </c>
      <c r="U471">
        <v>359.85700000000003</v>
      </c>
      <c r="V471">
        <v>365.64600000000002</v>
      </c>
      <c r="W471">
        <v>298.048</v>
      </c>
      <c r="X471">
        <v>308.56099999999998</v>
      </c>
      <c r="Y471">
        <v>370.815</v>
      </c>
      <c r="Z471">
        <v>672.375</v>
      </c>
      <c r="AC471">
        <f t="shared" si="27"/>
        <v>8</v>
      </c>
      <c r="AD471">
        <f t="shared" si="28"/>
        <v>5</v>
      </c>
      <c r="AE471">
        <f t="shared" si="29"/>
        <v>2024</v>
      </c>
      <c r="AG471" s="19">
        <v>45509</v>
      </c>
    </row>
    <row r="472" spans="1:33" x14ac:dyDescent="0.25">
      <c r="A472" s="25">
        <v>10471</v>
      </c>
      <c r="B472" t="s">
        <v>621</v>
      </c>
      <c r="C472" t="s">
        <v>621</v>
      </c>
      <c r="D472" s="27" t="s">
        <v>495</v>
      </c>
      <c r="E472" s="45">
        <v>13</v>
      </c>
      <c r="F472" s="58"/>
      <c r="G472" s="58"/>
      <c r="H472" t="s">
        <v>19</v>
      </c>
      <c r="I472" t="s">
        <v>8</v>
      </c>
      <c r="J472">
        <v>-0.51319999999999999</v>
      </c>
      <c r="K472">
        <v>1.92</v>
      </c>
      <c r="L472">
        <v>1E-3</v>
      </c>
      <c r="N472" s="71">
        <v>0.17822941768395634</v>
      </c>
      <c r="O472">
        <v>28.903333333333336</v>
      </c>
      <c r="P472">
        <v>18.153333333333332</v>
      </c>
      <c r="Q472">
        <v>3.7281559193519449</v>
      </c>
      <c r="R472">
        <v>1.3918033054478678</v>
      </c>
      <c r="S472">
        <v>334.548</v>
      </c>
      <c r="T472">
        <v>333.49099999999999</v>
      </c>
      <c r="U472">
        <v>403.173</v>
      </c>
      <c r="V472">
        <v>419.37900000000002</v>
      </c>
      <c r="W472">
        <v>348.71899999999999</v>
      </c>
      <c r="X472">
        <v>344.62599999999998</v>
      </c>
      <c r="Y472">
        <v>394.61200000000002</v>
      </c>
      <c r="Z472">
        <v>585.61300000000006</v>
      </c>
      <c r="AC472">
        <f t="shared" si="27"/>
        <v>8</v>
      </c>
      <c r="AD472">
        <f t="shared" si="28"/>
        <v>5</v>
      </c>
      <c r="AE472">
        <f t="shared" si="29"/>
        <v>2024</v>
      </c>
      <c r="AG472" s="19">
        <v>45509</v>
      </c>
    </row>
    <row r="473" spans="1:33" x14ac:dyDescent="0.25">
      <c r="A473" s="25">
        <v>10472</v>
      </c>
      <c r="B473" t="s">
        <v>622</v>
      </c>
      <c r="C473" t="s">
        <v>622</v>
      </c>
      <c r="D473" s="27" t="s">
        <v>496</v>
      </c>
      <c r="E473" s="45">
        <v>14</v>
      </c>
      <c r="F473" s="58"/>
      <c r="G473" s="58"/>
      <c r="H473" t="s">
        <v>19</v>
      </c>
      <c r="I473" t="s">
        <v>8</v>
      </c>
      <c r="J473">
        <v>-0.51659999999999995</v>
      </c>
      <c r="K473">
        <v>1.917</v>
      </c>
      <c r="L473">
        <v>4.0000000000000001E-3</v>
      </c>
      <c r="N473" s="71">
        <v>0.22917145333723327</v>
      </c>
      <c r="O473">
        <v>22.623333333333335</v>
      </c>
      <c r="P473">
        <v>20.239999999999998</v>
      </c>
      <c r="Q473">
        <v>3.3313791192275821</v>
      </c>
      <c r="R473">
        <v>1.3136559885737606</v>
      </c>
      <c r="S473">
        <v>319.13099999999997</v>
      </c>
      <c r="T473">
        <v>323.41500000000002</v>
      </c>
      <c r="U473">
        <v>397.29700000000003</v>
      </c>
      <c r="V473">
        <v>408.505</v>
      </c>
      <c r="W473">
        <v>335.8</v>
      </c>
      <c r="X473">
        <v>334.17500000000001</v>
      </c>
      <c r="Y473">
        <v>381.08100000000002</v>
      </c>
      <c r="Z473">
        <v>585.32500000000005</v>
      </c>
      <c r="AC473">
        <f t="shared" si="27"/>
        <v>8</v>
      </c>
      <c r="AD473">
        <f t="shared" si="28"/>
        <v>5</v>
      </c>
      <c r="AE473">
        <f t="shared" si="29"/>
        <v>2024</v>
      </c>
      <c r="AG473" s="19">
        <v>45509</v>
      </c>
    </row>
    <row r="474" spans="1:33" x14ac:dyDescent="0.25">
      <c r="A474" s="25">
        <v>10473</v>
      </c>
      <c r="B474" t="s">
        <v>626</v>
      </c>
      <c r="C474" t="s">
        <v>626</v>
      </c>
      <c r="D474" s="27" t="s">
        <v>497</v>
      </c>
      <c r="E474" s="45">
        <v>1</v>
      </c>
      <c r="F474" s="59"/>
      <c r="G474" s="59"/>
      <c r="H474" t="s">
        <v>18</v>
      </c>
      <c r="I474" t="s">
        <v>8</v>
      </c>
      <c r="J474">
        <v>8.3000000000000001E-3</v>
      </c>
      <c r="K474">
        <v>3.3000000000000002E-2</v>
      </c>
      <c r="L474">
        <v>0.26200000000000001</v>
      </c>
      <c r="N474">
        <v>0.17222774566793209</v>
      </c>
      <c r="O474">
        <v>86.5833333333333</v>
      </c>
      <c r="P474">
        <v>10.456666666666667</v>
      </c>
      <c r="Q474" s="27">
        <v>3.3955788366637005</v>
      </c>
      <c r="R474" s="27">
        <v>0.46267851734952625</v>
      </c>
      <c r="S474" s="27">
        <v>142.05199999999999</v>
      </c>
      <c r="T474" s="27">
        <v>183.9</v>
      </c>
      <c r="U474" s="27">
        <v>260.68599999999998</v>
      </c>
      <c r="V474" s="27">
        <v>293.47199999999998</v>
      </c>
      <c r="W474" s="27">
        <v>261.02800000000002</v>
      </c>
      <c r="X474" s="27">
        <v>204.702</v>
      </c>
      <c r="Y474" s="27">
        <v>284.77999999999997</v>
      </c>
      <c r="Z474" s="27">
        <v>497.99200000000002</v>
      </c>
      <c r="AC474">
        <f t="shared" ref="AC474:AC484" si="30">MONTH(AG474)</f>
        <v>8</v>
      </c>
      <c r="AD474">
        <f t="shared" ref="AD474:AD484" si="31">DAY(AG474)</f>
        <v>14</v>
      </c>
      <c r="AE474">
        <f t="shared" ref="AE474:AE484" si="32">YEAR(AG474)</f>
        <v>2024</v>
      </c>
      <c r="AG474" s="19">
        <v>45518</v>
      </c>
    </row>
    <row r="475" spans="1:33" x14ac:dyDescent="0.25">
      <c r="A475" s="25">
        <v>10474</v>
      </c>
      <c r="B475" t="s">
        <v>627</v>
      </c>
      <c r="C475" t="s">
        <v>627</v>
      </c>
      <c r="D475" s="27" t="s">
        <v>498</v>
      </c>
      <c r="E475" s="45">
        <v>5</v>
      </c>
      <c r="F475" s="59"/>
      <c r="G475" s="59"/>
      <c r="H475" t="s">
        <v>18</v>
      </c>
      <c r="I475" t="s">
        <v>8</v>
      </c>
      <c r="J475">
        <v>1.6799999999999999E-2</v>
      </c>
      <c r="K475">
        <v>0.24199999999999999</v>
      </c>
      <c r="L475">
        <v>0.28199999999999997</v>
      </c>
      <c r="N475">
        <v>0.19689401323955968</v>
      </c>
      <c r="O475">
        <v>61.546666666666674</v>
      </c>
      <c r="P475">
        <v>12.199999999999998</v>
      </c>
      <c r="Q475" s="27">
        <v>3.2110266159695815</v>
      </c>
      <c r="R475" s="27">
        <v>0.53816721434479775</v>
      </c>
      <c r="S475" s="27">
        <v>211.44</v>
      </c>
      <c r="T475" s="27">
        <v>292.61399999999998</v>
      </c>
      <c r="U475" s="27">
        <v>373.71499999999997</v>
      </c>
      <c r="V475" s="27">
        <v>386.95100000000002</v>
      </c>
      <c r="W475" s="27">
        <v>362.12200000000001</v>
      </c>
      <c r="X475" s="27">
        <v>323.40300000000002</v>
      </c>
      <c r="Y475" s="27">
        <v>376.78199999999998</v>
      </c>
      <c r="Z475" s="27">
        <v>553.97799999999995</v>
      </c>
      <c r="AC475">
        <f t="shared" si="30"/>
        <v>8</v>
      </c>
      <c r="AD475">
        <f t="shared" si="31"/>
        <v>14</v>
      </c>
      <c r="AE475">
        <f t="shared" si="32"/>
        <v>2024</v>
      </c>
      <c r="AG475" s="19">
        <v>45518</v>
      </c>
    </row>
    <row r="476" spans="1:33" x14ac:dyDescent="0.25">
      <c r="A476" s="25">
        <v>10475</v>
      </c>
      <c r="B476" t="s">
        <v>628</v>
      </c>
      <c r="C476" t="s">
        <v>628</v>
      </c>
      <c r="D476" s="27" t="s">
        <v>477</v>
      </c>
      <c r="E476" s="45">
        <v>6</v>
      </c>
      <c r="F476" s="59"/>
      <c r="G476" s="59"/>
      <c r="H476" t="s">
        <v>18</v>
      </c>
      <c r="I476" t="s">
        <v>8</v>
      </c>
      <c r="J476">
        <v>1.6E-2</v>
      </c>
      <c r="K476">
        <v>1.43</v>
      </c>
      <c r="L476">
        <v>0.30199999999999999</v>
      </c>
      <c r="N476">
        <v>0.12339582928472528</v>
      </c>
      <c r="O476">
        <v>1.47</v>
      </c>
      <c r="P476">
        <v>0.66333333333333333</v>
      </c>
      <c r="Q476" s="27">
        <v>2.5759647277728339</v>
      </c>
      <c r="R476" s="27">
        <v>0.77230122964448589</v>
      </c>
      <c r="S476" s="27"/>
      <c r="T476" s="27"/>
      <c r="U476" s="27"/>
      <c r="V476" s="27"/>
      <c r="W476" s="27"/>
      <c r="X476" s="27"/>
      <c r="Y476" s="27"/>
      <c r="Z476" s="27"/>
      <c r="AC476">
        <f t="shared" si="30"/>
        <v>8</v>
      </c>
      <c r="AD476">
        <f t="shared" si="31"/>
        <v>14</v>
      </c>
      <c r="AE476">
        <f t="shared" si="32"/>
        <v>2024</v>
      </c>
      <c r="AG476" s="19">
        <v>45518</v>
      </c>
    </row>
    <row r="477" spans="1:33" x14ac:dyDescent="0.25">
      <c r="A477" s="25">
        <v>10476</v>
      </c>
      <c r="B477" t="s">
        <v>629</v>
      </c>
      <c r="C477" t="s">
        <v>629</v>
      </c>
      <c r="D477" s="27" t="s">
        <v>478</v>
      </c>
      <c r="E477" s="45">
        <v>8</v>
      </c>
      <c r="F477" s="58"/>
      <c r="G477" s="58"/>
      <c r="H477" t="s">
        <v>18</v>
      </c>
      <c r="I477" t="s">
        <v>8</v>
      </c>
      <c r="J477">
        <v>1.09E-2</v>
      </c>
      <c r="K477">
        <v>1.3149999999999999</v>
      </c>
      <c r="L477">
        <v>0.29399999999999998</v>
      </c>
      <c r="N477">
        <v>0.1166413793181294</v>
      </c>
      <c r="O477">
        <v>20.299999999999997</v>
      </c>
      <c r="P477">
        <v>3.06</v>
      </c>
      <c r="Q477" s="27">
        <v>2.6902354178464525</v>
      </c>
      <c r="R477" s="27">
        <v>0.71871320068954281</v>
      </c>
      <c r="S477" s="27">
        <v>132.45500000000001</v>
      </c>
      <c r="T477" s="27">
        <v>178.499</v>
      </c>
      <c r="U477" s="27">
        <v>208.06100000000001</v>
      </c>
      <c r="V477" s="27">
        <v>210.857</v>
      </c>
      <c r="W477" s="27">
        <v>174.685</v>
      </c>
      <c r="X477" s="27">
        <v>152.71700000000001</v>
      </c>
      <c r="Y477" s="27">
        <v>144.93199999999999</v>
      </c>
      <c r="Z477" s="27">
        <v>427.548</v>
      </c>
      <c r="AC477">
        <f t="shared" si="30"/>
        <v>8</v>
      </c>
      <c r="AD477">
        <f t="shared" si="31"/>
        <v>14</v>
      </c>
      <c r="AE477">
        <f t="shared" si="32"/>
        <v>2024</v>
      </c>
      <c r="AG477" s="19">
        <v>45518</v>
      </c>
    </row>
    <row r="478" spans="1:33" x14ac:dyDescent="0.25">
      <c r="A478" s="25">
        <v>10477</v>
      </c>
      <c r="B478" t="s">
        <v>630</v>
      </c>
      <c r="C478" t="s">
        <v>630</v>
      </c>
      <c r="D478" s="27" t="s">
        <v>479</v>
      </c>
      <c r="E478" s="45">
        <v>9</v>
      </c>
      <c r="F478" s="58"/>
      <c r="G478" s="58"/>
      <c r="H478" t="s">
        <v>18</v>
      </c>
      <c r="I478" t="s">
        <v>8</v>
      </c>
      <c r="J478">
        <v>1.4800000000000001E-2</v>
      </c>
      <c r="K478">
        <v>0.88400000000000001</v>
      </c>
      <c r="L478">
        <v>0.251</v>
      </c>
      <c r="N478">
        <v>0.12233010762680738</v>
      </c>
      <c r="O478">
        <v>68.373333333333335</v>
      </c>
      <c r="P478">
        <v>3.5100000000000002</v>
      </c>
      <c r="Q478" s="27">
        <v>2.961754712401909</v>
      </c>
      <c r="R478" s="27">
        <v>0.83184871556617701</v>
      </c>
      <c r="S478" s="27">
        <v>170.666</v>
      </c>
      <c r="T478" s="27">
        <v>182.49700000000001</v>
      </c>
      <c r="U478" s="27">
        <v>269.71499999999997</v>
      </c>
      <c r="V478" s="27">
        <v>294.91300000000001</v>
      </c>
      <c r="W478" s="27">
        <v>270.77999999999997</v>
      </c>
      <c r="X478" s="27">
        <v>200.94499999999999</v>
      </c>
      <c r="Y478" s="27">
        <v>292.72399999999999</v>
      </c>
      <c r="Z478" s="27">
        <v>593.21</v>
      </c>
      <c r="AC478">
        <f t="shared" si="30"/>
        <v>8</v>
      </c>
      <c r="AD478">
        <f t="shared" si="31"/>
        <v>14</v>
      </c>
      <c r="AE478">
        <f t="shared" si="32"/>
        <v>2024</v>
      </c>
      <c r="AG478" s="19">
        <v>45518</v>
      </c>
    </row>
    <row r="479" spans="1:33" x14ac:dyDescent="0.25">
      <c r="A479" s="25">
        <v>10478</v>
      </c>
      <c r="B479" t="s">
        <v>631</v>
      </c>
      <c r="C479" t="s">
        <v>631</v>
      </c>
      <c r="D479" s="27" t="s">
        <v>480</v>
      </c>
      <c r="E479" s="45">
        <v>10</v>
      </c>
      <c r="F479" s="58"/>
      <c r="G479" s="58"/>
      <c r="H479" t="s">
        <v>18</v>
      </c>
      <c r="I479" t="s">
        <v>8</v>
      </c>
      <c r="J479">
        <v>1.67E-2</v>
      </c>
      <c r="K479">
        <v>1.0169999999999999</v>
      </c>
      <c r="L479">
        <v>0.26700000000000002</v>
      </c>
      <c r="N479">
        <v>0.11774901030700957</v>
      </c>
      <c r="O479">
        <v>48.636666666666663</v>
      </c>
      <c r="P479">
        <v>7.8466666666666667</v>
      </c>
      <c r="Q479" s="27">
        <v>2.051222932340965</v>
      </c>
      <c r="R479" s="27">
        <v>0.62710168388694143</v>
      </c>
      <c r="S479" s="27">
        <v>166.71199999999999</v>
      </c>
      <c r="T479" s="27">
        <v>187.905</v>
      </c>
      <c r="U479" s="27">
        <v>253.71299999999999</v>
      </c>
      <c r="V479" s="27">
        <v>271.35199999999998</v>
      </c>
      <c r="W479" s="27">
        <v>255.874</v>
      </c>
      <c r="X479" s="27">
        <v>196.96</v>
      </c>
      <c r="Y479" s="27">
        <v>264.01100000000002</v>
      </c>
      <c r="Z479" s="27">
        <v>459.42599999999999</v>
      </c>
      <c r="AC479">
        <f t="shared" si="30"/>
        <v>8</v>
      </c>
      <c r="AD479">
        <f t="shared" si="31"/>
        <v>14</v>
      </c>
      <c r="AE479">
        <f t="shared" si="32"/>
        <v>2024</v>
      </c>
      <c r="AG479" s="19">
        <v>45518</v>
      </c>
    </row>
    <row r="480" spans="1:33" x14ac:dyDescent="0.25">
      <c r="A480" s="25">
        <v>10479</v>
      </c>
      <c r="B480" t="s">
        <v>632</v>
      </c>
      <c r="C480" t="s">
        <v>632</v>
      </c>
      <c r="D480" s="27" t="s">
        <v>481</v>
      </c>
      <c r="E480" s="45">
        <v>11</v>
      </c>
      <c r="F480" s="58"/>
      <c r="G480" s="58"/>
      <c r="H480" t="s">
        <v>18</v>
      </c>
      <c r="I480" t="s">
        <v>8</v>
      </c>
      <c r="J480">
        <v>2.2100000000000002E-2</v>
      </c>
      <c r="K480">
        <v>0.79800000000000004</v>
      </c>
      <c r="L480">
        <v>0.3</v>
      </c>
      <c r="N480">
        <v>9.9389825610324806E-2</v>
      </c>
      <c r="O480">
        <v>43</v>
      </c>
      <c r="P480">
        <v>7.83</v>
      </c>
      <c r="Q480" s="27">
        <v>2.7145052989240361</v>
      </c>
      <c r="R480" s="27">
        <v>0.67230207984240986</v>
      </c>
      <c r="S480" s="27">
        <v>154.51400000000001</v>
      </c>
      <c r="T480" s="27">
        <v>184.82599999999999</v>
      </c>
      <c r="U480" s="27">
        <v>249.26300000000001</v>
      </c>
      <c r="V480" s="27">
        <v>272.39800000000002</v>
      </c>
      <c r="W480" s="27">
        <v>261.161</v>
      </c>
      <c r="X480" s="27">
        <v>195.94200000000001</v>
      </c>
      <c r="Y480" s="27">
        <v>274.37200000000001</v>
      </c>
      <c r="Z480" s="27">
        <v>456.43200000000002</v>
      </c>
      <c r="AC480">
        <f t="shared" si="30"/>
        <v>8</v>
      </c>
      <c r="AD480">
        <f t="shared" si="31"/>
        <v>14</v>
      </c>
      <c r="AE480">
        <f t="shared" si="32"/>
        <v>2024</v>
      </c>
      <c r="AG480" s="19">
        <v>45518</v>
      </c>
    </row>
    <row r="481" spans="1:33" x14ac:dyDescent="0.25">
      <c r="A481" s="25">
        <v>10480</v>
      </c>
      <c r="B481" t="s">
        <v>633</v>
      </c>
      <c r="C481" t="s">
        <v>633</v>
      </c>
      <c r="D481" s="27" t="s">
        <v>482</v>
      </c>
      <c r="E481" s="45">
        <v>12</v>
      </c>
      <c r="F481" s="58"/>
      <c r="G481" s="58"/>
      <c r="H481" t="s">
        <v>18</v>
      </c>
      <c r="I481" t="s">
        <v>8</v>
      </c>
      <c r="J481">
        <v>1.2999999999999999E-2</v>
      </c>
      <c r="K481">
        <v>1.0469999999999999</v>
      </c>
      <c r="L481">
        <v>0.27600000000000002</v>
      </c>
      <c r="N481">
        <v>7.0473545801244611E-2</v>
      </c>
      <c r="O481">
        <v>38.050000000000004</v>
      </c>
      <c r="P481">
        <v>7.4766666666666666</v>
      </c>
      <c r="Q481" s="27">
        <v>3.4092306447698411</v>
      </c>
      <c r="R481" s="27">
        <v>0.9153887330910162</v>
      </c>
      <c r="S481" s="27">
        <v>131.35300000000001</v>
      </c>
      <c r="T481" s="27">
        <v>161.654</v>
      </c>
      <c r="U481" s="27">
        <v>225.453</v>
      </c>
      <c r="V481" s="27">
        <v>245.93199999999999</v>
      </c>
      <c r="W481" s="27">
        <v>234.97300000000001</v>
      </c>
      <c r="X481" s="27">
        <v>174.42</v>
      </c>
      <c r="Y481" s="27">
        <v>239.95099999999999</v>
      </c>
      <c r="Z481" s="27">
        <v>456.24099999999999</v>
      </c>
      <c r="AC481">
        <f t="shared" si="30"/>
        <v>8</v>
      </c>
      <c r="AD481">
        <f t="shared" si="31"/>
        <v>14</v>
      </c>
      <c r="AE481">
        <f t="shared" si="32"/>
        <v>2024</v>
      </c>
      <c r="AG481" s="19">
        <v>45518</v>
      </c>
    </row>
    <row r="482" spans="1:33" x14ac:dyDescent="0.25">
      <c r="A482" s="25">
        <v>10481</v>
      </c>
      <c r="B482" t="s">
        <v>634</v>
      </c>
      <c r="C482" t="s">
        <v>634</v>
      </c>
      <c r="D482" s="27" t="s">
        <v>483</v>
      </c>
      <c r="E482" s="45">
        <v>14</v>
      </c>
      <c r="F482" s="58"/>
      <c r="G482" s="58"/>
      <c r="H482" t="s">
        <v>18</v>
      </c>
      <c r="I482" t="s">
        <v>8</v>
      </c>
      <c r="J482">
        <v>8.2000000000000007E-3</v>
      </c>
      <c r="K482">
        <v>1.2090000000000001</v>
      </c>
      <c r="L482">
        <v>0.311</v>
      </c>
      <c r="N482" s="41">
        <v>0.15</v>
      </c>
      <c r="O482">
        <v>37.333333333333336</v>
      </c>
      <c r="P482">
        <v>4.54</v>
      </c>
      <c r="Q482" s="27">
        <v>2.8999002238222364</v>
      </c>
      <c r="R482" s="27">
        <v>0.96502845364925405</v>
      </c>
      <c r="S482" s="27">
        <v>163.078</v>
      </c>
      <c r="T482" s="27">
        <v>220.54499999999999</v>
      </c>
      <c r="U482" s="27">
        <v>294.233</v>
      </c>
      <c r="V482" s="27">
        <v>315.87900000000002</v>
      </c>
      <c r="W482" s="27">
        <v>278.17500000000001</v>
      </c>
      <c r="X482" s="27">
        <v>228.90199999999999</v>
      </c>
      <c r="Y482" s="27">
        <v>237.547</v>
      </c>
      <c r="Z482" s="27">
        <v>462.327</v>
      </c>
      <c r="AC482">
        <f t="shared" si="30"/>
        <v>8</v>
      </c>
      <c r="AD482">
        <f t="shared" si="31"/>
        <v>14</v>
      </c>
      <c r="AE482">
        <f t="shared" si="32"/>
        <v>2024</v>
      </c>
      <c r="AG482" s="19">
        <v>45518</v>
      </c>
    </row>
    <row r="483" spans="1:33" x14ac:dyDescent="0.25">
      <c r="A483" s="25">
        <v>10482</v>
      </c>
      <c r="B483" t="s">
        <v>635</v>
      </c>
      <c r="C483" t="s">
        <v>635</v>
      </c>
      <c r="D483" s="27">
        <v>4115</v>
      </c>
      <c r="E483" s="45">
        <v>15</v>
      </c>
      <c r="F483" s="58"/>
      <c r="G483" s="58"/>
      <c r="H483" t="s">
        <v>18</v>
      </c>
      <c r="I483" t="s">
        <v>8</v>
      </c>
      <c r="J483">
        <v>1.7299999999999999E-2</v>
      </c>
      <c r="K483">
        <v>1.0029999999999999</v>
      </c>
      <c r="L483">
        <v>0.29299999999999998</v>
      </c>
      <c r="N483">
        <v>0.16389833669166579</v>
      </c>
      <c r="O483">
        <v>69.086666666666659</v>
      </c>
      <c r="P483">
        <v>8.1766666666666676</v>
      </c>
      <c r="Q483" s="27">
        <v>3.3188927540921718</v>
      </c>
      <c r="R483" s="27">
        <v>0.88996351036606525</v>
      </c>
      <c r="S483" s="27">
        <v>171.27099999999999</v>
      </c>
      <c r="T483" s="27">
        <v>189.72200000000001</v>
      </c>
      <c r="U483" s="27">
        <v>260.40499999999997</v>
      </c>
      <c r="V483" s="27">
        <v>288.86399999999998</v>
      </c>
      <c r="W483" s="27">
        <v>247.74700000000001</v>
      </c>
      <c r="X483" s="27">
        <v>196.62299999999999</v>
      </c>
      <c r="Y483" s="27">
        <v>223.74299999999999</v>
      </c>
      <c r="Z483" s="27">
        <v>481.41699999999997</v>
      </c>
      <c r="AC483">
        <f t="shared" si="30"/>
        <v>8</v>
      </c>
      <c r="AD483">
        <f t="shared" si="31"/>
        <v>14</v>
      </c>
      <c r="AE483">
        <f t="shared" si="32"/>
        <v>2024</v>
      </c>
      <c r="AG483" s="19">
        <v>45518</v>
      </c>
    </row>
    <row r="484" spans="1:33" x14ac:dyDescent="0.25">
      <c r="A484" s="25">
        <v>10483</v>
      </c>
      <c r="B484" t="s">
        <v>657</v>
      </c>
      <c r="C484" t="s">
        <v>657</v>
      </c>
      <c r="D484" s="27" t="s">
        <v>456</v>
      </c>
      <c r="E484" s="45">
        <v>1</v>
      </c>
      <c r="F484" s="58"/>
      <c r="G484" s="58"/>
      <c r="H484" t="s">
        <v>17</v>
      </c>
      <c r="I484" t="s">
        <v>8</v>
      </c>
      <c r="J484">
        <v>3.3999999999999998E-3</v>
      </c>
      <c r="K484">
        <v>8.3000000000000004E-2</v>
      </c>
      <c r="L484">
        <v>4.3999999999999997E-2</v>
      </c>
      <c r="N484">
        <v>0.3584226784785568</v>
      </c>
      <c r="O484">
        <v>34.326666666666668</v>
      </c>
      <c r="P484">
        <v>21.113333333333333</v>
      </c>
      <c r="Q484">
        <v>2.3569368817169205</v>
      </c>
      <c r="R484">
        <v>0.38243786982248518</v>
      </c>
      <c r="S484">
        <v>221.22499999999999</v>
      </c>
      <c r="T484">
        <v>192.13</v>
      </c>
      <c r="U484">
        <v>294.279</v>
      </c>
      <c r="V484">
        <v>351.46699999999998</v>
      </c>
      <c r="W484">
        <v>279.62700000000001</v>
      </c>
      <c r="X484">
        <v>226.34100000000001</v>
      </c>
      <c r="Y484">
        <v>305.98</v>
      </c>
      <c r="Z484">
        <v>440.33300000000003</v>
      </c>
      <c r="AC484">
        <f t="shared" si="30"/>
        <v>9</v>
      </c>
      <c r="AD484">
        <f t="shared" si="31"/>
        <v>12</v>
      </c>
      <c r="AE484">
        <f t="shared" si="32"/>
        <v>2024</v>
      </c>
      <c r="AG484" s="19">
        <v>45547</v>
      </c>
    </row>
    <row r="485" spans="1:33" x14ac:dyDescent="0.25">
      <c r="A485" s="25">
        <v>10484</v>
      </c>
      <c r="B485" s="28" t="s">
        <v>658</v>
      </c>
      <c r="C485" s="23" t="s">
        <v>658</v>
      </c>
      <c r="D485" s="60" t="s">
        <v>457</v>
      </c>
      <c r="E485" s="73">
        <v>2</v>
      </c>
      <c r="F485" s="58"/>
      <c r="G485" s="58"/>
      <c r="H485" s="23" t="s">
        <v>17</v>
      </c>
      <c r="I485" s="23" t="s">
        <v>8</v>
      </c>
      <c r="J485">
        <v>-5.7999999999999996E-3</v>
      </c>
      <c r="K485">
        <v>5.5E-2</v>
      </c>
      <c r="L485">
        <v>-3.2000000000000001E-2</v>
      </c>
      <c r="N485">
        <v>0.42306217627462239</v>
      </c>
      <c r="O485">
        <v>32.99</v>
      </c>
      <c r="P485">
        <v>13.160000000000002</v>
      </c>
      <c r="Q485">
        <v>2.5305483898936068</v>
      </c>
      <c r="R485">
        <v>0.28957926953682928</v>
      </c>
      <c r="S485">
        <v>211.846</v>
      </c>
      <c r="T485">
        <v>184.387</v>
      </c>
      <c r="U485">
        <v>286.74400000000003</v>
      </c>
      <c r="V485">
        <v>355.34100000000001</v>
      </c>
      <c r="W485">
        <v>273.13799999999998</v>
      </c>
      <c r="X485">
        <v>213.393</v>
      </c>
      <c r="Y485">
        <v>292.88400000000001</v>
      </c>
      <c r="Z485">
        <v>413.339</v>
      </c>
      <c r="AC485">
        <f t="shared" ref="AC485:AC496" si="33">MONTH(AG485)</f>
        <v>9</v>
      </c>
      <c r="AD485">
        <f t="shared" ref="AD485:AD496" si="34">DAY(AG485)</f>
        <v>12</v>
      </c>
      <c r="AE485">
        <f t="shared" ref="AE485:AE496" si="35">YEAR(AG485)</f>
        <v>2024</v>
      </c>
      <c r="AG485" s="19">
        <v>45547</v>
      </c>
    </row>
    <row r="486" spans="1:33" x14ac:dyDescent="0.25">
      <c r="A486" s="25">
        <v>10485</v>
      </c>
      <c r="B486" t="s">
        <v>647</v>
      </c>
      <c r="C486" t="s">
        <v>647</v>
      </c>
      <c r="D486" s="27" t="s">
        <v>458</v>
      </c>
      <c r="E486" s="45">
        <v>3</v>
      </c>
      <c r="F486" s="58"/>
      <c r="G486" s="58"/>
      <c r="H486" t="s">
        <v>17</v>
      </c>
      <c r="I486" t="s">
        <v>8</v>
      </c>
      <c r="J486">
        <v>-4.0000000000000001E-3</v>
      </c>
      <c r="K486">
        <v>7.2999999999999995E-2</v>
      </c>
      <c r="L486">
        <v>0.04</v>
      </c>
      <c r="N486">
        <v>0.38920281579978688</v>
      </c>
      <c r="O486">
        <v>10.976666666666667</v>
      </c>
      <c r="P486">
        <v>0.97666666666666668</v>
      </c>
      <c r="Q486">
        <v>2.5113159773111602</v>
      </c>
      <c r="R486">
        <v>0.36282962660681495</v>
      </c>
      <c r="S486">
        <v>213.96199999999999</v>
      </c>
      <c r="T486">
        <v>194.41200000000001</v>
      </c>
      <c r="U486">
        <v>307.13900000000001</v>
      </c>
      <c r="V486">
        <v>372.37</v>
      </c>
      <c r="W486">
        <v>282.30799999999999</v>
      </c>
      <c r="X486">
        <v>225.47200000000001</v>
      </c>
      <c r="Y486">
        <v>291.98</v>
      </c>
      <c r="Z486">
        <v>388.73500000000001</v>
      </c>
      <c r="AC486">
        <f t="shared" si="33"/>
        <v>9</v>
      </c>
      <c r="AD486">
        <f t="shared" si="34"/>
        <v>12</v>
      </c>
      <c r="AE486">
        <f t="shared" si="35"/>
        <v>2024</v>
      </c>
      <c r="AG486" s="19">
        <v>45547</v>
      </c>
    </row>
    <row r="487" spans="1:33" x14ac:dyDescent="0.25">
      <c r="A487" s="25">
        <v>10486</v>
      </c>
      <c r="B487" t="s">
        <v>654</v>
      </c>
      <c r="C487" t="s">
        <v>654</v>
      </c>
      <c r="D487" s="27" t="s">
        <v>459</v>
      </c>
      <c r="E487" s="45">
        <v>4</v>
      </c>
      <c r="F487" s="58"/>
      <c r="G487" s="58"/>
      <c r="H487" t="s">
        <v>17</v>
      </c>
      <c r="I487" t="s">
        <v>8</v>
      </c>
      <c r="J487">
        <v>-3.2000000000000002E-3</v>
      </c>
      <c r="K487">
        <v>6.3E-2</v>
      </c>
      <c r="L487">
        <v>0.04</v>
      </c>
      <c r="N487">
        <v>0.41280759413621682</v>
      </c>
      <c r="O487">
        <v>16.91</v>
      </c>
      <c r="P487">
        <v>22.753333333333334</v>
      </c>
      <c r="Q487">
        <v>2.5695330099931617</v>
      </c>
      <c r="R487">
        <v>0.38025464190981439</v>
      </c>
      <c r="S487">
        <v>218.00700000000001</v>
      </c>
      <c r="T487">
        <v>181.62799999999999</v>
      </c>
      <c r="U487">
        <v>292.18799999999999</v>
      </c>
      <c r="V487">
        <v>365.47300000000001</v>
      </c>
      <c r="W487">
        <v>267.084</v>
      </c>
      <c r="X487">
        <v>217.03299999999999</v>
      </c>
      <c r="Y487">
        <v>286.20800000000003</v>
      </c>
      <c r="Z487">
        <v>406.14499999999998</v>
      </c>
      <c r="AC487">
        <f t="shared" si="33"/>
        <v>9</v>
      </c>
      <c r="AD487">
        <f t="shared" si="34"/>
        <v>12</v>
      </c>
      <c r="AE487">
        <f t="shared" si="35"/>
        <v>2024</v>
      </c>
      <c r="AG487" s="19">
        <v>45547</v>
      </c>
    </row>
    <row r="488" spans="1:33" x14ac:dyDescent="0.25">
      <c r="A488" s="25">
        <v>10487</v>
      </c>
      <c r="B488" t="s">
        <v>651</v>
      </c>
      <c r="C488" t="s">
        <v>651</v>
      </c>
      <c r="D488" s="27" t="s">
        <v>460</v>
      </c>
      <c r="E488" s="45">
        <v>5</v>
      </c>
      <c r="F488" s="58"/>
      <c r="G488" s="58"/>
      <c r="H488" t="s">
        <v>17</v>
      </c>
      <c r="I488" t="s">
        <v>8</v>
      </c>
      <c r="J488">
        <v>-1.17E-2</v>
      </c>
      <c r="K488">
        <v>7.3999999999999996E-2</v>
      </c>
      <c r="L488">
        <v>6.2E-2</v>
      </c>
      <c r="N488">
        <v>0.29435794096450085</v>
      </c>
      <c r="O488">
        <v>16.239999999999998</v>
      </c>
      <c r="P488">
        <v>1.3566666666666667</v>
      </c>
      <c r="Q488">
        <v>2.5144347469191235</v>
      </c>
      <c r="R488">
        <v>0.38294796980208123</v>
      </c>
      <c r="S488">
        <v>216.34700000000001</v>
      </c>
      <c r="T488">
        <v>196.64</v>
      </c>
      <c r="U488">
        <v>317.69499999999999</v>
      </c>
      <c r="V488">
        <v>405.51799999999997</v>
      </c>
      <c r="W488">
        <v>297.00099999999998</v>
      </c>
      <c r="X488">
        <v>233.77500000000001</v>
      </c>
      <c r="Y488">
        <v>314.572</v>
      </c>
      <c r="Z488">
        <v>447.16199999999998</v>
      </c>
      <c r="AC488">
        <f t="shared" si="33"/>
        <v>9</v>
      </c>
      <c r="AD488">
        <f t="shared" si="34"/>
        <v>12</v>
      </c>
      <c r="AE488">
        <f t="shared" si="35"/>
        <v>2024</v>
      </c>
      <c r="AG488" s="19">
        <v>45547</v>
      </c>
    </row>
    <row r="489" spans="1:33" x14ac:dyDescent="0.25">
      <c r="A489" s="25">
        <v>10488</v>
      </c>
      <c r="B489" t="s">
        <v>653</v>
      </c>
      <c r="C489" t="s">
        <v>653</v>
      </c>
      <c r="D489" s="27" t="s">
        <v>461</v>
      </c>
      <c r="E489" s="45">
        <v>6</v>
      </c>
      <c r="F489" s="58"/>
      <c r="G489" s="58"/>
      <c r="H489" t="s">
        <v>17</v>
      </c>
      <c r="I489" t="s">
        <v>8</v>
      </c>
      <c r="J489">
        <v>-8.6999999999999994E-3</v>
      </c>
      <c r="K489">
        <v>6.7000000000000004E-2</v>
      </c>
      <c r="L489">
        <v>5.1999999999999998E-2</v>
      </c>
      <c r="N489">
        <v>0.35390388181158788</v>
      </c>
      <c r="O489">
        <v>7.3766666666666678</v>
      </c>
      <c r="P489">
        <v>2.2033333333333331</v>
      </c>
      <c r="Q489">
        <v>2.4946825394020156</v>
      </c>
      <c r="R489">
        <v>0.36348255458069784</v>
      </c>
      <c r="S489">
        <v>200.80600000000001</v>
      </c>
      <c r="T489">
        <v>195.19300000000001</v>
      </c>
      <c r="U489">
        <v>323.767</v>
      </c>
      <c r="V489">
        <v>416.88</v>
      </c>
      <c r="W489">
        <v>304.15199999999999</v>
      </c>
      <c r="X489">
        <v>242.24299999999999</v>
      </c>
      <c r="Y489">
        <v>318.09399999999999</v>
      </c>
      <c r="Z489">
        <v>404.48700000000002</v>
      </c>
      <c r="AC489">
        <f t="shared" si="33"/>
        <v>9</v>
      </c>
      <c r="AD489">
        <f t="shared" si="34"/>
        <v>12</v>
      </c>
      <c r="AE489">
        <f t="shared" si="35"/>
        <v>2024</v>
      </c>
      <c r="AG489" s="19">
        <v>45547</v>
      </c>
    </row>
    <row r="490" spans="1:33" x14ac:dyDescent="0.25">
      <c r="A490" s="25">
        <v>10489</v>
      </c>
      <c r="B490" t="s">
        <v>650</v>
      </c>
      <c r="C490" t="s">
        <v>650</v>
      </c>
      <c r="D490" s="27" t="s">
        <v>462</v>
      </c>
      <c r="E490" s="45">
        <v>7</v>
      </c>
      <c r="F490" s="58"/>
      <c r="G490" s="58"/>
      <c r="H490" t="s">
        <v>17</v>
      </c>
      <c r="I490" t="s">
        <v>8</v>
      </c>
      <c r="J490">
        <v>0.30199999999999999</v>
      </c>
      <c r="K490">
        <v>0.10100000000000001</v>
      </c>
      <c r="L490">
        <v>0.108</v>
      </c>
      <c r="N490">
        <v>0.3582605412040839</v>
      </c>
      <c r="O490">
        <v>26.813333333333333</v>
      </c>
      <c r="P490">
        <v>3.7933333333333334</v>
      </c>
      <c r="Q490">
        <v>2.7530206219284019</v>
      </c>
      <c r="R490">
        <v>0.66011589471536425</v>
      </c>
      <c r="S490">
        <v>209.81800000000001</v>
      </c>
      <c r="T490">
        <v>190.392</v>
      </c>
      <c r="U490">
        <v>273.20499999999998</v>
      </c>
      <c r="V490">
        <v>324.55799999999999</v>
      </c>
      <c r="W490">
        <v>245.72200000000001</v>
      </c>
      <c r="X490">
        <v>204.607</v>
      </c>
      <c r="Y490">
        <v>267.233</v>
      </c>
      <c r="Z490">
        <v>357.19299999999998</v>
      </c>
      <c r="AC490">
        <f t="shared" si="33"/>
        <v>9</v>
      </c>
      <c r="AD490">
        <f t="shared" si="34"/>
        <v>12</v>
      </c>
      <c r="AE490">
        <f t="shared" si="35"/>
        <v>2024</v>
      </c>
      <c r="AG490" s="19">
        <v>45547</v>
      </c>
    </row>
    <row r="491" spans="1:33" x14ac:dyDescent="0.25">
      <c r="A491" s="25">
        <v>10490</v>
      </c>
      <c r="B491" t="s">
        <v>655</v>
      </c>
      <c r="C491" t="s">
        <v>655</v>
      </c>
      <c r="D491" s="27" t="s">
        <v>463</v>
      </c>
      <c r="E491" s="45">
        <v>8</v>
      </c>
      <c r="F491" s="58"/>
      <c r="G491" s="58"/>
      <c r="H491" t="s">
        <v>17</v>
      </c>
      <c r="I491" t="s">
        <v>8</v>
      </c>
      <c r="J491">
        <v>6.7999999999999996E-3</v>
      </c>
      <c r="K491">
        <v>7.8E-2</v>
      </c>
      <c r="L491">
        <v>7.0000000000000007E-2</v>
      </c>
      <c r="N491">
        <v>0.4191289565477625</v>
      </c>
      <c r="O491">
        <v>36.923333333333332</v>
      </c>
      <c r="P491">
        <v>6.6333333333333329</v>
      </c>
      <c r="Q491">
        <v>2.5799289086863766</v>
      </c>
      <c r="R491">
        <v>0.30080146908794125</v>
      </c>
      <c r="S491">
        <v>218.626</v>
      </c>
      <c r="T491">
        <v>197.78800000000001</v>
      </c>
      <c r="U491">
        <v>276.40899999999999</v>
      </c>
      <c r="V491">
        <v>303.976</v>
      </c>
      <c r="W491">
        <v>247.47399999999999</v>
      </c>
      <c r="X491">
        <v>207.80199999999999</v>
      </c>
      <c r="Y491">
        <v>277.846</v>
      </c>
      <c r="Z491">
        <v>394.6</v>
      </c>
      <c r="AC491">
        <f t="shared" si="33"/>
        <v>9</v>
      </c>
      <c r="AD491">
        <f t="shared" si="34"/>
        <v>12</v>
      </c>
      <c r="AE491">
        <f t="shared" si="35"/>
        <v>2024</v>
      </c>
      <c r="AG491" s="19">
        <v>45547</v>
      </c>
    </row>
    <row r="492" spans="1:33" x14ac:dyDescent="0.25">
      <c r="A492" s="25">
        <v>10491</v>
      </c>
      <c r="B492" t="s">
        <v>648</v>
      </c>
      <c r="C492" t="s">
        <v>648</v>
      </c>
      <c r="D492" s="27" t="s">
        <v>464</v>
      </c>
      <c r="E492" s="45">
        <v>9</v>
      </c>
      <c r="F492" s="58"/>
      <c r="G492" s="58"/>
      <c r="H492" t="s">
        <v>17</v>
      </c>
      <c r="I492" t="s">
        <v>8</v>
      </c>
      <c r="J492">
        <v>-7.6E-3</v>
      </c>
      <c r="K492">
        <v>7.0999999999999994E-2</v>
      </c>
      <c r="L492">
        <v>4.2000000000000003E-2</v>
      </c>
      <c r="N492">
        <v>0.44788959654047</v>
      </c>
      <c r="O492">
        <v>34.120000000000005</v>
      </c>
      <c r="P492">
        <v>20.063333333333333</v>
      </c>
      <c r="Q492">
        <v>2.4650542281263537</v>
      </c>
      <c r="R492">
        <v>0.29685669591239883</v>
      </c>
      <c r="S492">
        <v>243.08699999999999</v>
      </c>
      <c r="T492">
        <v>233.01</v>
      </c>
      <c r="U492">
        <v>301.24400000000003</v>
      </c>
      <c r="V492">
        <v>338.64699999999999</v>
      </c>
      <c r="W492">
        <v>267.39699999999999</v>
      </c>
      <c r="X492">
        <v>233.357</v>
      </c>
      <c r="Y492">
        <v>298.55799999999999</v>
      </c>
      <c r="Z492">
        <v>403.69900000000001</v>
      </c>
      <c r="AC492">
        <f t="shared" si="33"/>
        <v>9</v>
      </c>
      <c r="AD492">
        <f t="shared" si="34"/>
        <v>12</v>
      </c>
      <c r="AE492">
        <f t="shared" si="35"/>
        <v>2024</v>
      </c>
      <c r="AG492" s="19">
        <v>45547</v>
      </c>
    </row>
    <row r="493" spans="1:33" x14ac:dyDescent="0.25">
      <c r="A493" s="25">
        <v>10492</v>
      </c>
      <c r="B493" t="s">
        <v>652</v>
      </c>
      <c r="C493" t="s">
        <v>652</v>
      </c>
      <c r="D493" s="27" t="s">
        <v>465</v>
      </c>
      <c r="E493" s="45">
        <v>10</v>
      </c>
      <c r="F493" s="58"/>
      <c r="G493" s="58"/>
      <c r="H493" t="s">
        <v>17</v>
      </c>
      <c r="I493" t="s">
        <v>8</v>
      </c>
      <c r="J493">
        <v>-5.3E-3</v>
      </c>
      <c r="K493">
        <v>6.4000000000000001E-2</v>
      </c>
      <c r="L493">
        <v>4.1000000000000002E-2</v>
      </c>
      <c r="N493">
        <v>0.36853153225184276</v>
      </c>
      <c r="O493">
        <v>26.900000000000002</v>
      </c>
      <c r="P493">
        <v>3.9866666666666668</v>
      </c>
      <c r="Q493">
        <v>2.3169126717480433</v>
      </c>
      <c r="R493">
        <v>0.28222022716452427</v>
      </c>
      <c r="S493">
        <v>231.70400000000001</v>
      </c>
      <c r="T493">
        <v>244.54499999999999</v>
      </c>
      <c r="U493">
        <v>317.83499999999998</v>
      </c>
      <c r="V493">
        <v>362.35599999999999</v>
      </c>
      <c r="W493">
        <v>278.46499999999997</v>
      </c>
      <c r="X493">
        <v>241.892</v>
      </c>
      <c r="Y493">
        <v>294.45100000000002</v>
      </c>
      <c r="Z493">
        <v>420.892</v>
      </c>
      <c r="AC493">
        <f t="shared" si="33"/>
        <v>9</v>
      </c>
      <c r="AD493">
        <f t="shared" si="34"/>
        <v>12</v>
      </c>
      <c r="AE493">
        <f t="shared" si="35"/>
        <v>2024</v>
      </c>
      <c r="AG493" s="19">
        <v>45547</v>
      </c>
    </row>
    <row r="494" spans="1:33" x14ac:dyDescent="0.25">
      <c r="A494" s="25">
        <v>10493</v>
      </c>
      <c r="B494" t="s">
        <v>646</v>
      </c>
      <c r="C494" t="s">
        <v>646</v>
      </c>
      <c r="D494" s="27" t="s">
        <v>466</v>
      </c>
      <c r="E494" s="45">
        <v>11</v>
      </c>
      <c r="F494" s="58"/>
      <c r="G494" s="58"/>
      <c r="H494" t="s">
        <v>17</v>
      </c>
      <c r="I494" t="s">
        <v>8</v>
      </c>
      <c r="J494">
        <v>-1.6000000000000001E-3</v>
      </c>
      <c r="K494">
        <v>7.2999999999999995E-2</v>
      </c>
      <c r="L494">
        <v>4.4999999999999998E-2</v>
      </c>
      <c r="N494">
        <v>0.38725942788022782</v>
      </c>
      <c r="O494">
        <v>20.326666666666664</v>
      </c>
      <c r="P494">
        <v>1.2433333333333334</v>
      </c>
      <c r="Q494">
        <v>2.4073569903790117</v>
      </c>
      <c r="R494">
        <v>0.35607590287696389</v>
      </c>
      <c r="S494">
        <v>249.09200000000001</v>
      </c>
      <c r="T494">
        <v>229.744</v>
      </c>
      <c r="U494">
        <v>301.18099999999998</v>
      </c>
      <c r="V494">
        <v>337.70100000000002</v>
      </c>
      <c r="W494">
        <v>270.17399999999998</v>
      </c>
      <c r="X494">
        <v>232.12700000000001</v>
      </c>
      <c r="Y494">
        <v>297.80799999999999</v>
      </c>
      <c r="Z494">
        <v>410.07400000000001</v>
      </c>
      <c r="AC494">
        <f t="shared" si="33"/>
        <v>9</v>
      </c>
      <c r="AD494">
        <f t="shared" si="34"/>
        <v>12</v>
      </c>
      <c r="AE494">
        <f t="shared" si="35"/>
        <v>2024</v>
      </c>
      <c r="AG494" s="19">
        <v>45547</v>
      </c>
    </row>
    <row r="495" spans="1:33" x14ac:dyDescent="0.25">
      <c r="A495" s="25">
        <v>10494</v>
      </c>
      <c r="B495" t="s">
        <v>656</v>
      </c>
      <c r="C495" t="s">
        <v>656</v>
      </c>
      <c r="D495" s="27" t="s">
        <v>467</v>
      </c>
      <c r="E495" s="45">
        <v>12</v>
      </c>
      <c r="F495" s="58"/>
      <c r="G495" s="58"/>
      <c r="H495" t="s">
        <v>17</v>
      </c>
      <c r="I495" t="s">
        <v>8</v>
      </c>
      <c r="J495">
        <v>4.3E-3</v>
      </c>
      <c r="K495">
        <v>0.14399999999999999</v>
      </c>
      <c r="L495">
        <v>6.3E-2</v>
      </c>
      <c r="N495">
        <v>0.26707086336659086</v>
      </c>
      <c r="O495">
        <v>18.626666666666669</v>
      </c>
      <c r="P495">
        <v>1.41</v>
      </c>
      <c r="Q495">
        <v>2.4536187395638178</v>
      </c>
      <c r="R495">
        <v>0.36397225056111004</v>
      </c>
      <c r="S495">
        <v>228.24299999999999</v>
      </c>
      <c r="T495">
        <v>230.93299999999999</v>
      </c>
      <c r="U495">
        <v>329.90899999999999</v>
      </c>
      <c r="V495">
        <v>376.142</v>
      </c>
      <c r="W495">
        <v>306.32400000000001</v>
      </c>
      <c r="X495">
        <v>237.87200000000001</v>
      </c>
      <c r="Y495">
        <v>334.16199999999998</v>
      </c>
      <c r="Z495">
        <v>339.42899999999997</v>
      </c>
      <c r="AC495">
        <f t="shared" si="33"/>
        <v>9</v>
      </c>
      <c r="AD495">
        <f t="shared" si="34"/>
        <v>12</v>
      </c>
      <c r="AE495">
        <f t="shared" si="35"/>
        <v>2024</v>
      </c>
      <c r="AG495" s="19">
        <v>45547</v>
      </c>
    </row>
    <row r="496" spans="1:33" ht="15.75" thickBot="1" x14ac:dyDescent="0.3">
      <c r="A496" s="25">
        <v>10495</v>
      </c>
      <c r="B496" t="s">
        <v>649</v>
      </c>
      <c r="C496" t="s">
        <v>649</v>
      </c>
      <c r="D496" s="27" t="s">
        <v>468</v>
      </c>
      <c r="E496" s="45">
        <v>13</v>
      </c>
      <c r="F496" s="58"/>
      <c r="G496" s="58"/>
      <c r="H496" t="s">
        <v>17</v>
      </c>
      <c r="I496" t="s">
        <v>8</v>
      </c>
      <c r="J496">
        <v>-3.8E-3</v>
      </c>
      <c r="K496">
        <v>7.0000000000000007E-2</v>
      </c>
      <c r="L496">
        <v>4.1000000000000002E-2</v>
      </c>
      <c r="N496">
        <v>0.33612507180850809</v>
      </c>
      <c r="O496">
        <v>22.26</v>
      </c>
      <c r="P496">
        <v>6.12</v>
      </c>
      <c r="Q496">
        <v>2.5201524912003919</v>
      </c>
      <c r="R496">
        <v>0.37522165544446712</v>
      </c>
      <c r="S496">
        <v>203.62299999999999</v>
      </c>
      <c r="T496">
        <v>195.392</v>
      </c>
      <c r="U496">
        <v>321.11399999999998</v>
      </c>
      <c r="V496">
        <v>407.18299999999999</v>
      </c>
      <c r="W496">
        <v>303.84500000000003</v>
      </c>
      <c r="X496">
        <v>237.13200000000001</v>
      </c>
      <c r="Y496">
        <v>323.44600000000003</v>
      </c>
      <c r="Z496">
        <v>428.89699999999999</v>
      </c>
      <c r="AC496">
        <f t="shared" si="33"/>
        <v>9</v>
      </c>
      <c r="AD496">
        <f t="shared" si="34"/>
        <v>12</v>
      </c>
      <c r="AE496">
        <f t="shared" si="35"/>
        <v>2024</v>
      </c>
      <c r="AG496" s="19">
        <v>45547</v>
      </c>
    </row>
    <row r="497" spans="5:27" x14ac:dyDescent="0.25">
      <c r="E497" s="74"/>
      <c r="F497" s="75"/>
      <c r="G497" s="75"/>
      <c r="H497" s="128" t="s">
        <v>644</v>
      </c>
      <c r="I497" s="53" t="s">
        <v>638</v>
      </c>
      <c r="J497" s="96">
        <f>COUNTBLANK(J268:J496)</f>
        <v>13</v>
      </c>
      <c r="K497" s="96">
        <f>COUNTBLANK(K268:K496)</f>
        <v>13</v>
      </c>
      <c r="L497" s="96">
        <f>COUNTBLANK(L268:L496)</f>
        <v>13</v>
      </c>
      <c r="M497" s="96">
        <f>COUNTBLANK(M268:M496)</f>
        <v>229</v>
      </c>
      <c r="N497" s="96">
        <f>(COUNTBLANK(N268:N496))</f>
        <v>0</v>
      </c>
      <c r="O497" s="96">
        <f>COUNTBLANK(O268:O496)</f>
        <v>0</v>
      </c>
      <c r="P497" s="97">
        <f>COUNTBLANK(P268:P496)</f>
        <v>0</v>
      </c>
      <c r="Q497" s="97">
        <f>COUNTBLANK(Q268:Q496)</f>
        <v>13</v>
      </c>
      <c r="R497" s="97">
        <f>COUNTBLANK(R268:R496)</f>
        <v>13</v>
      </c>
      <c r="S497" s="102"/>
      <c r="T497" s="102"/>
      <c r="U497" s="102"/>
      <c r="V497" s="102"/>
      <c r="W497" s="102"/>
      <c r="X497" s="102"/>
      <c r="Y497" s="102"/>
      <c r="Z497" s="102"/>
    </row>
    <row r="498" spans="5:27" x14ac:dyDescent="0.25">
      <c r="E498" s="76"/>
      <c r="F498" s="77"/>
      <c r="G498" s="77"/>
      <c r="H498" s="129"/>
      <c r="I498" s="54" t="s">
        <v>639</v>
      </c>
      <c r="J498" s="98">
        <f>J499-J497</f>
        <v>216</v>
      </c>
      <c r="K498" s="98">
        <f t="shared" ref="K498:P498" si="36">K499-K497</f>
        <v>216</v>
      </c>
      <c r="L498" s="98">
        <f t="shared" si="36"/>
        <v>216</v>
      </c>
      <c r="M498" s="98">
        <f t="shared" si="36"/>
        <v>0</v>
      </c>
      <c r="N498" s="98">
        <f t="shared" si="36"/>
        <v>229</v>
      </c>
      <c r="O498" s="98">
        <f t="shared" si="36"/>
        <v>229</v>
      </c>
      <c r="P498" s="99">
        <f t="shared" si="36"/>
        <v>229</v>
      </c>
      <c r="Q498" s="99">
        <f t="shared" ref="Q498:R498" si="37">Q499-Q497</f>
        <v>216</v>
      </c>
      <c r="R498" s="99">
        <f t="shared" si="37"/>
        <v>216</v>
      </c>
      <c r="S498" s="98"/>
      <c r="T498" s="98"/>
      <c r="U498" s="98"/>
      <c r="V498" s="98"/>
      <c r="W498" s="98"/>
      <c r="X498" s="98"/>
      <c r="Y498" s="98"/>
      <c r="Z498" s="98"/>
    </row>
    <row r="499" spans="5:27" ht="15.75" thickBot="1" x14ac:dyDescent="0.3">
      <c r="E499" s="76"/>
      <c r="F499" s="77"/>
      <c r="G499" s="77"/>
      <c r="H499" s="129"/>
      <c r="I499" s="55" t="s">
        <v>636</v>
      </c>
      <c r="J499" s="100">
        <v>229</v>
      </c>
      <c r="K499" s="100">
        <v>229</v>
      </c>
      <c r="L499" s="100">
        <v>229</v>
      </c>
      <c r="M499" s="100">
        <v>229</v>
      </c>
      <c r="N499" s="100">
        <v>229</v>
      </c>
      <c r="O499" s="100">
        <v>229</v>
      </c>
      <c r="P499" s="101">
        <v>229</v>
      </c>
      <c r="Q499" s="101">
        <v>229</v>
      </c>
      <c r="R499" s="101">
        <v>229</v>
      </c>
      <c r="S499" s="119"/>
      <c r="T499" s="119"/>
      <c r="U499" s="119"/>
      <c r="V499" s="119"/>
      <c r="W499" s="119"/>
      <c r="X499" s="119"/>
      <c r="Y499" s="119"/>
      <c r="Z499" s="119"/>
      <c r="AA499" t="s">
        <v>664</v>
      </c>
    </row>
    <row r="500" spans="5:27" ht="30.75" thickBot="1" x14ac:dyDescent="0.3">
      <c r="E500" s="76"/>
      <c r="F500" s="77"/>
      <c r="G500" s="77"/>
      <c r="H500" s="129"/>
      <c r="I500" s="93" t="s">
        <v>642</v>
      </c>
      <c r="J500" s="94">
        <f>J498/J499</f>
        <v>0.94323144104803491</v>
      </c>
      <c r="K500" s="94">
        <f t="shared" ref="K500:P500" si="38">K498/K499</f>
        <v>0.94323144104803491</v>
      </c>
      <c r="L500" s="94">
        <f t="shared" si="38"/>
        <v>0.94323144104803491</v>
      </c>
      <c r="M500" s="94">
        <f t="shared" si="38"/>
        <v>0</v>
      </c>
      <c r="N500" s="94">
        <f t="shared" si="38"/>
        <v>1</v>
      </c>
      <c r="O500" s="94">
        <f t="shared" si="38"/>
        <v>1</v>
      </c>
      <c r="P500" s="95">
        <f t="shared" si="38"/>
        <v>1</v>
      </c>
      <c r="Q500" s="95">
        <f t="shared" ref="Q500:R500" si="39">Q498/Q499</f>
        <v>0.94323144104803491</v>
      </c>
      <c r="R500" s="95">
        <f t="shared" si="39"/>
        <v>0.94323144104803491</v>
      </c>
      <c r="S500" s="120"/>
      <c r="T500" s="120"/>
      <c r="U500" s="120"/>
      <c r="V500" s="120"/>
      <c r="W500" s="120"/>
      <c r="X500" s="120"/>
      <c r="Y500" s="120"/>
      <c r="Z500" s="120"/>
      <c r="AA500" s="113">
        <f>AVERAGE(J500:R500)</f>
        <v>0.85735080058224156</v>
      </c>
    </row>
    <row r="501" spans="5:27" ht="30.75" thickBot="1" x14ac:dyDescent="0.3">
      <c r="E501" s="76"/>
      <c r="F501" s="77"/>
      <c r="G501" s="77"/>
      <c r="H501" s="129"/>
      <c r="I501" s="61" t="s">
        <v>640</v>
      </c>
      <c r="J501" s="62"/>
      <c r="K501" s="62"/>
      <c r="L501" s="62"/>
      <c r="M501" s="62"/>
      <c r="N501" s="62">
        <v>61</v>
      </c>
      <c r="O501" s="62">
        <v>14</v>
      </c>
      <c r="P501" s="63">
        <v>14</v>
      </c>
      <c r="Q501" s="63"/>
      <c r="R501" s="63"/>
      <c r="S501" s="52"/>
      <c r="T501" s="52"/>
      <c r="U501" s="52"/>
      <c r="V501" s="52"/>
      <c r="W501" s="52"/>
      <c r="X501" s="52"/>
      <c r="Y501" s="52"/>
      <c r="Z501" s="52"/>
    </row>
    <row r="502" spans="5:27" ht="15.75" thickBot="1" x14ac:dyDescent="0.3">
      <c r="E502" s="76"/>
      <c r="F502" s="77"/>
      <c r="G502" s="77"/>
      <c r="H502" s="129"/>
      <c r="I502" s="64" t="s">
        <v>641</v>
      </c>
      <c r="J502" s="65">
        <f t="shared" ref="J502:M502" si="40">J501/J499</f>
        <v>0</v>
      </c>
      <c r="K502" s="65">
        <f t="shared" si="40"/>
        <v>0</v>
      </c>
      <c r="L502" s="65">
        <f t="shared" si="40"/>
        <v>0</v>
      </c>
      <c r="M502" s="65">
        <f t="shared" si="40"/>
        <v>0</v>
      </c>
      <c r="N502" s="65">
        <f>N501/N499</f>
        <v>0.26637554585152839</v>
      </c>
      <c r="O502" s="65">
        <f t="shared" ref="O502" si="41">O501/O499</f>
        <v>6.1135371179039298E-2</v>
      </c>
      <c r="P502" s="66">
        <f t="shared" ref="P502:R502" si="42">P501/P499</f>
        <v>6.1135371179039298E-2</v>
      </c>
      <c r="Q502" s="66">
        <f t="shared" si="42"/>
        <v>0</v>
      </c>
      <c r="R502" s="66">
        <f t="shared" si="42"/>
        <v>0</v>
      </c>
      <c r="S502" s="65"/>
      <c r="T502" s="65"/>
      <c r="U502" s="65"/>
      <c r="V502" s="65"/>
      <c r="W502" s="65"/>
      <c r="X502" s="65"/>
      <c r="Y502" s="65"/>
      <c r="Z502" s="65"/>
    </row>
    <row r="503" spans="5:27" ht="30.75" customHeight="1" thickBot="1" x14ac:dyDescent="0.3">
      <c r="E503" s="76"/>
      <c r="F503" s="77"/>
      <c r="G503" s="77"/>
      <c r="H503" s="130"/>
      <c r="I503" s="106" t="s">
        <v>643</v>
      </c>
      <c r="J503" s="107">
        <f>J498-J501</f>
        <v>216</v>
      </c>
      <c r="K503" s="107">
        <f t="shared" ref="K503:P503" si="43">K498-K501</f>
        <v>216</v>
      </c>
      <c r="L503" s="107">
        <f t="shared" si="43"/>
        <v>216</v>
      </c>
      <c r="M503" s="107">
        <f t="shared" si="43"/>
        <v>0</v>
      </c>
      <c r="N503" s="107">
        <f t="shared" si="43"/>
        <v>168</v>
      </c>
      <c r="O503" s="107">
        <f t="shared" si="43"/>
        <v>215</v>
      </c>
      <c r="P503" s="108">
        <f t="shared" si="43"/>
        <v>215</v>
      </c>
      <c r="Q503" s="108">
        <f t="shared" ref="Q503:R503" si="44">Q498-Q501</f>
        <v>216</v>
      </c>
      <c r="R503" s="108">
        <f t="shared" si="44"/>
        <v>216</v>
      </c>
      <c r="S503" s="121"/>
      <c r="T503" s="121"/>
      <c r="U503" s="121"/>
      <c r="V503" s="121"/>
      <c r="W503" s="121"/>
      <c r="X503" s="121"/>
      <c r="Y503" s="121"/>
      <c r="Z503" s="121"/>
    </row>
    <row r="504" spans="5:27" x14ac:dyDescent="0.25">
      <c r="E504" s="76"/>
      <c r="F504" s="77"/>
      <c r="G504" s="77"/>
      <c r="H504" s="80" t="s">
        <v>645</v>
      </c>
      <c r="I504" s="109"/>
      <c r="J504" s="109"/>
      <c r="K504" s="109"/>
      <c r="L504" s="109"/>
      <c r="M504" s="109"/>
      <c r="N504" s="109">
        <v>26</v>
      </c>
      <c r="O504" s="109"/>
      <c r="P504" s="110"/>
      <c r="Q504" s="110"/>
      <c r="R504" s="110"/>
      <c r="S504" s="122"/>
      <c r="T504" s="122"/>
      <c r="U504" s="122"/>
      <c r="V504" s="122"/>
      <c r="W504" s="122"/>
      <c r="X504" s="122"/>
      <c r="Y504" s="122"/>
      <c r="Z504" s="122"/>
    </row>
    <row r="505" spans="5:27" ht="15.75" thickBot="1" x14ac:dyDescent="0.3">
      <c r="E505" s="78"/>
      <c r="F505" s="79"/>
      <c r="G505" s="79"/>
      <c r="H505" s="81" t="s">
        <v>659</v>
      </c>
      <c r="I505" s="91"/>
      <c r="J505" s="91">
        <f>COUNTIF(J281:J496, "&lt;0")</f>
        <v>91</v>
      </c>
      <c r="K505" s="91">
        <f>COUNTIF(K281:K496, "&lt;0")</f>
        <v>0</v>
      </c>
      <c r="L505" s="91">
        <f>COUNTIF(L281:L496, "&lt;0")</f>
        <v>42</v>
      </c>
      <c r="M505" s="91"/>
      <c r="N505" s="91"/>
      <c r="O505" s="91"/>
      <c r="P505" s="92"/>
      <c r="Q505" s="92"/>
      <c r="R505" s="92"/>
      <c r="S505" s="122"/>
      <c r="T505" s="122"/>
      <c r="U505" s="122"/>
      <c r="V505" s="122"/>
      <c r="W505" s="122"/>
      <c r="X505" s="122"/>
      <c r="Y505" s="122"/>
      <c r="Z505" s="122"/>
    </row>
    <row r="506" spans="5:27" ht="15" customHeight="1" x14ac:dyDescent="0.25">
      <c r="E506" s="82"/>
      <c r="F506" s="83"/>
      <c r="G506" s="83"/>
      <c r="H506" s="129" t="s">
        <v>661</v>
      </c>
      <c r="I506" s="90" t="s">
        <v>638</v>
      </c>
      <c r="J506" s="102">
        <f t="shared" ref="J506:R506" si="45">COUNTBLANK(J2:J267)</f>
        <v>87</v>
      </c>
      <c r="K506" s="102">
        <f t="shared" si="45"/>
        <v>60</v>
      </c>
      <c r="L506" s="102">
        <f t="shared" si="45"/>
        <v>87</v>
      </c>
      <c r="M506" s="102">
        <f t="shared" si="45"/>
        <v>56</v>
      </c>
      <c r="N506" s="102">
        <f t="shared" si="45"/>
        <v>0</v>
      </c>
      <c r="O506" s="102">
        <f t="shared" si="45"/>
        <v>0</v>
      </c>
      <c r="P506" s="103">
        <f t="shared" si="45"/>
        <v>0</v>
      </c>
      <c r="Q506" s="103">
        <f t="shared" si="45"/>
        <v>266</v>
      </c>
      <c r="R506" s="103">
        <f t="shared" si="45"/>
        <v>266</v>
      </c>
      <c r="S506" s="102"/>
      <c r="T506" s="102"/>
      <c r="U506" s="102"/>
      <c r="V506" s="102"/>
      <c r="W506" s="102"/>
      <c r="X506" s="102"/>
      <c r="Y506" s="102"/>
      <c r="Z506" s="102"/>
    </row>
    <row r="507" spans="5:27" x14ac:dyDescent="0.25">
      <c r="E507" s="82"/>
      <c r="F507" s="83"/>
      <c r="G507" s="83"/>
      <c r="H507" s="129"/>
      <c r="I507" s="54" t="s">
        <v>639</v>
      </c>
      <c r="J507" s="98">
        <f>J508-J506</f>
        <v>179</v>
      </c>
      <c r="K507" s="98">
        <f t="shared" ref="K507:P507" si="46">K508-K506</f>
        <v>206</v>
      </c>
      <c r="L507" s="98">
        <f t="shared" si="46"/>
        <v>179</v>
      </c>
      <c r="M507" s="98">
        <f t="shared" si="46"/>
        <v>210</v>
      </c>
      <c r="N507" s="98">
        <f t="shared" si="46"/>
        <v>266</v>
      </c>
      <c r="O507" s="98">
        <f t="shared" si="46"/>
        <v>266</v>
      </c>
      <c r="P507" s="99">
        <f t="shared" si="46"/>
        <v>266</v>
      </c>
      <c r="Q507" s="99">
        <f t="shared" ref="Q507:R507" si="47">Q508-Q506</f>
        <v>0</v>
      </c>
      <c r="R507" s="99">
        <f t="shared" si="47"/>
        <v>0</v>
      </c>
      <c r="S507" s="98"/>
      <c r="T507" s="98"/>
      <c r="U507" s="98"/>
      <c r="V507" s="98"/>
      <c r="W507" s="98"/>
      <c r="X507" s="98"/>
      <c r="Y507" s="98"/>
      <c r="Z507" s="98"/>
    </row>
    <row r="508" spans="5:27" ht="15.75" thickBot="1" x14ac:dyDescent="0.3">
      <c r="E508" s="82"/>
      <c r="F508" s="83"/>
      <c r="G508" s="83"/>
      <c r="H508" s="129"/>
      <c r="I508" s="55" t="s">
        <v>636</v>
      </c>
      <c r="J508" s="100">
        <v>266</v>
      </c>
      <c r="K508" s="100">
        <v>266</v>
      </c>
      <c r="L508" s="100">
        <v>266</v>
      </c>
      <c r="M508" s="100">
        <v>266</v>
      </c>
      <c r="N508" s="100">
        <v>266</v>
      </c>
      <c r="O508" s="100">
        <v>266</v>
      </c>
      <c r="P508" s="101">
        <v>266</v>
      </c>
      <c r="Q508" s="101">
        <v>266</v>
      </c>
      <c r="R508" s="101">
        <v>266</v>
      </c>
      <c r="S508" s="119"/>
      <c r="T508" s="119"/>
      <c r="U508" s="119"/>
      <c r="V508" s="119"/>
      <c r="W508" s="119"/>
      <c r="X508" s="119"/>
      <c r="Y508" s="119"/>
      <c r="Z508" s="119"/>
      <c r="AA508" t="s">
        <v>664</v>
      </c>
    </row>
    <row r="509" spans="5:27" ht="30.75" thickBot="1" x14ac:dyDescent="0.3">
      <c r="E509" s="82"/>
      <c r="F509" s="83"/>
      <c r="G509" s="83"/>
      <c r="H509" s="129"/>
      <c r="I509" s="93" t="s">
        <v>642</v>
      </c>
      <c r="J509" s="94">
        <f>J507/J508</f>
        <v>0.67293233082706772</v>
      </c>
      <c r="K509" s="94">
        <f t="shared" ref="K509:P509" si="48">K507/K508</f>
        <v>0.77443609022556392</v>
      </c>
      <c r="L509" s="94">
        <f t="shared" si="48"/>
        <v>0.67293233082706772</v>
      </c>
      <c r="M509" s="94">
        <f t="shared" si="48"/>
        <v>0.78947368421052633</v>
      </c>
      <c r="N509" s="94">
        <f t="shared" si="48"/>
        <v>1</v>
      </c>
      <c r="O509" s="94">
        <f t="shared" si="48"/>
        <v>1</v>
      </c>
      <c r="P509" s="95">
        <f t="shared" si="48"/>
        <v>1</v>
      </c>
      <c r="Q509" s="95">
        <f t="shared" ref="Q509:R509" si="49">Q507/Q508</f>
        <v>0</v>
      </c>
      <c r="R509" s="95">
        <f t="shared" si="49"/>
        <v>0</v>
      </c>
      <c r="S509" s="120"/>
      <c r="T509" s="120"/>
      <c r="U509" s="120"/>
      <c r="V509" s="120"/>
      <c r="W509" s="120"/>
      <c r="X509" s="120"/>
      <c r="Y509" s="120"/>
      <c r="Z509" s="120"/>
      <c r="AA509" s="113">
        <f>AVERAGE(J509:R509)</f>
        <v>0.65664160401002514</v>
      </c>
    </row>
    <row r="510" spans="5:27" ht="30.75" thickBot="1" x14ac:dyDescent="0.3">
      <c r="E510" s="82"/>
      <c r="F510" s="83"/>
      <c r="G510" s="83"/>
      <c r="H510" s="129"/>
      <c r="I510" s="61" t="s">
        <v>640</v>
      </c>
      <c r="J510" s="62"/>
      <c r="K510" s="62"/>
      <c r="L510" s="62"/>
      <c r="M510" s="62"/>
      <c r="N510" s="62">
        <f>COUNTIF(N2:N267, "=NO DATA")</f>
        <v>198</v>
      </c>
      <c r="O510" s="62">
        <f>COUNTIF(O2:O267, "=NO DATA")</f>
        <v>40</v>
      </c>
      <c r="P510" s="63">
        <f>COUNTIF(P2:P267, "=NO DATA")</f>
        <v>266</v>
      </c>
      <c r="Q510" s="63">
        <f>COUNTIF(Q2:Q267, "=NO DATA")</f>
        <v>0</v>
      </c>
      <c r="R510" s="63">
        <f>COUNTIF(R2:R267, "=NO DATA")</f>
        <v>0</v>
      </c>
      <c r="S510" s="52"/>
      <c r="T510" s="52"/>
      <c r="U510" s="52"/>
      <c r="V510" s="52"/>
      <c r="W510" s="52"/>
      <c r="X510" s="52"/>
      <c r="Y510" s="52"/>
      <c r="Z510" s="52"/>
    </row>
    <row r="511" spans="5:27" ht="15.75" thickBot="1" x14ac:dyDescent="0.3">
      <c r="E511" s="82"/>
      <c r="F511" s="83"/>
      <c r="G511" s="83"/>
      <c r="H511" s="129"/>
      <c r="I511" s="64" t="s">
        <v>641</v>
      </c>
      <c r="J511" s="65">
        <f t="shared" ref="J511:M511" si="50">J510/J508</f>
        <v>0</v>
      </c>
      <c r="K511" s="65">
        <f t="shared" si="50"/>
        <v>0</v>
      </c>
      <c r="L511" s="65">
        <f t="shared" si="50"/>
        <v>0</v>
      </c>
      <c r="M511" s="65">
        <f t="shared" si="50"/>
        <v>0</v>
      </c>
      <c r="N511" s="65">
        <f>N510/N508</f>
        <v>0.74436090225563911</v>
      </c>
      <c r="O511" s="65">
        <f t="shared" ref="O511:P511" si="51">O510/O508</f>
        <v>0.15037593984962405</v>
      </c>
      <c r="P511" s="66">
        <f t="shared" si="51"/>
        <v>1</v>
      </c>
      <c r="Q511" s="66">
        <f t="shared" ref="Q511:R511" si="52">Q510/Q508</f>
        <v>0</v>
      </c>
      <c r="R511" s="66">
        <f t="shared" si="52"/>
        <v>0</v>
      </c>
      <c r="S511" s="65"/>
      <c r="T511" s="65"/>
      <c r="U511" s="65"/>
      <c r="V511" s="65"/>
      <c r="W511" s="65"/>
      <c r="X511" s="65"/>
      <c r="Y511" s="65"/>
      <c r="Z511" s="65"/>
    </row>
    <row r="512" spans="5:27" ht="30.75" customHeight="1" thickBot="1" x14ac:dyDescent="0.3">
      <c r="E512" s="82"/>
      <c r="F512" s="83"/>
      <c r="G512" s="83"/>
      <c r="H512" s="130"/>
      <c r="I512" s="106" t="s">
        <v>643</v>
      </c>
      <c r="J512" s="107">
        <f>J507-J510</f>
        <v>179</v>
      </c>
      <c r="K512" s="107">
        <f t="shared" ref="K512:P512" si="53">K507-K510</f>
        <v>206</v>
      </c>
      <c r="L512" s="107">
        <f t="shared" si="53"/>
        <v>179</v>
      </c>
      <c r="M512" s="107">
        <f t="shared" si="53"/>
        <v>210</v>
      </c>
      <c r="N512" s="107">
        <f t="shared" si="53"/>
        <v>68</v>
      </c>
      <c r="O512" s="107">
        <f t="shared" si="53"/>
        <v>226</v>
      </c>
      <c r="P512" s="108">
        <f t="shared" si="53"/>
        <v>0</v>
      </c>
      <c r="Q512" s="108">
        <f t="shared" ref="Q512:R512" si="54">Q507-Q510</f>
        <v>0</v>
      </c>
      <c r="R512" s="108">
        <f t="shared" si="54"/>
        <v>0</v>
      </c>
      <c r="S512" s="121"/>
      <c r="T512" s="121"/>
      <c r="U512" s="121"/>
      <c r="V512" s="121"/>
      <c r="W512" s="121"/>
      <c r="X512" s="121"/>
      <c r="Y512" s="121"/>
      <c r="Z512" s="121"/>
    </row>
    <row r="513" spans="5:26" x14ac:dyDescent="0.25">
      <c r="E513" s="82"/>
      <c r="F513" s="83"/>
      <c r="G513" s="83"/>
      <c r="H513" s="86" t="s">
        <v>645</v>
      </c>
      <c r="I513" s="104"/>
      <c r="J513" s="104"/>
      <c r="K513" s="104"/>
      <c r="L513" s="104"/>
      <c r="M513" s="104"/>
      <c r="N513" s="104">
        <f>COUNTIF(N2:N267, "&lt;.15")</f>
        <v>28</v>
      </c>
      <c r="O513" s="104"/>
      <c r="P513" s="105"/>
      <c r="Q513" s="105"/>
      <c r="R513" s="105"/>
      <c r="S513" s="123"/>
      <c r="T513" s="123"/>
      <c r="U513" s="123"/>
      <c r="V513" s="123"/>
      <c r="W513" s="123"/>
      <c r="X513" s="123"/>
      <c r="Y513" s="123"/>
      <c r="Z513" s="123"/>
    </row>
    <row r="514" spans="5:26" ht="15.75" thickBot="1" x14ac:dyDescent="0.3">
      <c r="E514" s="84"/>
      <c r="F514" s="85"/>
      <c r="G514" s="85"/>
      <c r="H514" s="87" t="s">
        <v>659</v>
      </c>
      <c r="I514" s="88"/>
      <c r="J514" s="88">
        <f>COUNTIF(J2:J267, "&lt;0")</f>
        <v>0</v>
      </c>
      <c r="K514" s="88">
        <f t="shared" ref="K514:M514" si="55">COUNTIF(K2:K267, "&lt;0")</f>
        <v>0</v>
      </c>
      <c r="L514" s="88">
        <f t="shared" si="55"/>
        <v>61</v>
      </c>
      <c r="M514" s="88">
        <f t="shared" si="55"/>
        <v>1</v>
      </c>
      <c r="N514" s="88"/>
      <c r="O514" s="88"/>
      <c r="P514" s="89"/>
      <c r="Q514" s="89"/>
      <c r="R514" s="89"/>
      <c r="S514" s="123"/>
      <c r="T514" s="123"/>
      <c r="U514" s="123"/>
      <c r="V514" s="123"/>
      <c r="W514" s="123"/>
      <c r="X514" s="123"/>
      <c r="Y514" s="123"/>
      <c r="Z514" s="123"/>
    </row>
  </sheetData>
  <sortState xmlns:xlrd2="http://schemas.microsoft.com/office/spreadsheetml/2017/richdata2" ref="A2:AG436">
    <sortCondition ref="AE2:AE436"/>
    <sortCondition ref="AC2:AC436"/>
    <sortCondition ref="AD2:AD436"/>
  </sortState>
  <mergeCells count="2">
    <mergeCell ref="H497:H503"/>
    <mergeCell ref="H506:H512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31B51-53A7-4572-BE16-7D4186C780D5}">
  <dimension ref="A1:BD230"/>
  <sheetViews>
    <sheetView zoomScale="55" zoomScaleNormal="55" workbookViewId="0">
      <selection activeCell="Q18" sqref="Q18"/>
    </sheetView>
  </sheetViews>
  <sheetFormatPr defaultRowHeight="15" x14ac:dyDescent="0.25"/>
  <sheetData>
    <row r="1" spans="1:56" ht="60" x14ac:dyDescent="0.25">
      <c r="A1" s="31" t="s">
        <v>20</v>
      </c>
      <c r="B1" s="31" t="s">
        <v>21</v>
      </c>
      <c r="C1" s="31" t="s">
        <v>286</v>
      </c>
      <c r="D1" s="34" t="s">
        <v>285</v>
      </c>
      <c r="E1" s="34" t="s">
        <v>284</v>
      </c>
      <c r="F1" s="34"/>
      <c r="G1" s="34" t="s">
        <v>673</v>
      </c>
      <c r="H1" s="31" t="s">
        <v>505</v>
      </c>
      <c r="I1" s="31" t="s">
        <v>504</v>
      </c>
      <c r="J1" s="31" t="s">
        <v>576</v>
      </c>
      <c r="K1" s="31" t="s">
        <v>577</v>
      </c>
      <c r="L1" s="31" t="s">
        <v>578</v>
      </c>
      <c r="M1" s="31" t="s">
        <v>579</v>
      </c>
      <c r="N1" s="31" t="s">
        <v>586</v>
      </c>
      <c r="O1" s="31" t="s">
        <v>623</v>
      </c>
      <c r="P1" s="31" t="s">
        <v>624</v>
      </c>
      <c r="Q1" s="31" t="s">
        <v>663</v>
      </c>
      <c r="R1" s="31" t="s">
        <v>662</v>
      </c>
      <c r="S1" s="31" t="s">
        <v>665</v>
      </c>
      <c r="T1" s="31" t="s">
        <v>666</v>
      </c>
      <c r="U1" s="31" t="s">
        <v>667</v>
      </c>
      <c r="V1" s="31" t="s">
        <v>668</v>
      </c>
      <c r="W1" s="31" t="s">
        <v>669</v>
      </c>
      <c r="X1" s="31" t="s">
        <v>670</v>
      </c>
      <c r="Y1" s="31" t="s">
        <v>671</v>
      </c>
      <c r="Z1" s="31" t="s">
        <v>672</v>
      </c>
      <c r="AA1" s="31" t="s">
        <v>680</v>
      </c>
      <c r="AB1" s="31" t="s">
        <v>681</v>
      </c>
      <c r="AC1" s="31" t="s">
        <v>682</v>
      </c>
      <c r="AD1" s="31" t="s">
        <v>683</v>
      </c>
      <c r="AE1" s="31" t="s">
        <v>684</v>
      </c>
      <c r="AF1" s="31" t="s">
        <v>685</v>
      </c>
      <c r="AG1" s="31" t="s">
        <v>686</v>
      </c>
      <c r="AH1" s="31" t="s">
        <v>687</v>
      </c>
      <c r="AI1" s="31" t="s">
        <v>688</v>
      </c>
      <c r="AJ1" s="31" t="s">
        <v>689</v>
      </c>
      <c r="AK1" s="31" t="s">
        <v>690</v>
      </c>
      <c r="AL1" s="31" t="s">
        <v>691</v>
      </c>
      <c r="AM1" s="31" t="s">
        <v>692</v>
      </c>
      <c r="AN1" s="31" t="s">
        <v>693</v>
      </c>
      <c r="AO1" s="31" t="s">
        <v>694</v>
      </c>
      <c r="AP1" s="31" t="s">
        <v>695</v>
      </c>
      <c r="AQ1" s="31" t="s">
        <v>696</v>
      </c>
      <c r="AR1" s="31" t="s">
        <v>697</v>
      </c>
      <c r="AS1" s="31" t="s">
        <v>698</v>
      </c>
      <c r="AT1" s="31" t="s">
        <v>699</v>
      </c>
      <c r="AU1" s="31" t="s">
        <v>700</v>
      </c>
      <c r="AV1" s="31" t="s">
        <v>701</v>
      </c>
      <c r="AW1" s="31" t="s">
        <v>702</v>
      </c>
      <c r="AX1" s="31" t="s">
        <v>703</v>
      </c>
      <c r="AY1" s="31" t="s">
        <v>704</v>
      </c>
      <c r="AZ1" s="31" t="s">
        <v>582</v>
      </c>
      <c r="BA1" s="31" t="s">
        <v>583</v>
      </c>
      <c r="BB1" s="31" t="s">
        <v>584</v>
      </c>
      <c r="BC1" s="31" t="s">
        <v>585</v>
      </c>
      <c r="BD1" s="32" t="s">
        <v>16</v>
      </c>
    </row>
    <row r="2" spans="1:56" x14ac:dyDescent="0.25">
      <c r="A2" s="25">
        <v>10267</v>
      </c>
      <c r="B2" s="26" t="s">
        <v>287</v>
      </c>
      <c r="C2" s="26" t="s">
        <v>287</v>
      </c>
      <c r="D2" s="29" t="s">
        <v>456</v>
      </c>
      <c r="E2" s="29">
        <v>1</v>
      </c>
      <c r="F2" s="23"/>
      <c r="G2">
        <v>5999</v>
      </c>
      <c r="H2" s="26" t="s">
        <v>17</v>
      </c>
      <c r="I2" s="26" t="s">
        <v>8</v>
      </c>
      <c r="N2" t="s">
        <v>509</v>
      </c>
      <c r="O2" t="s">
        <v>509</v>
      </c>
      <c r="P2" t="s">
        <v>509</v>
      </c>
      <c r="AZ2">
        <f t="shared" ref="AZ2:AZ65" si="0">MONTH(BD2)</f>
        <v>5</v>
      </c>
      <c r="BA2">
        <f t="shared" ref="BA2:BA65" si="1">DAY(BD2)</f>
        <v>16</v>
      </c>
      <c r="BB2">
        <f t="shared" ref="BB2:BB65" si="2">YEAR(BD2)</f>
        <v>2024</v>
      </c>
      <c r="BD2" s="19">
        <v>45428</v>
      </c>
    </row>
    <row r="3" spans="1:56" x14ac:dyDescent="0.25">
      <c r="A3" s="25">
        <v>10268</v>
      </c>
      <c r="B3" t="s">
        <v>288</v>
      </c>
      <c r="C3" t="s">
        <v>288</v>
      </c>
      <c r="D3" s="27" t="s">
        <v>457</v>
      </c>
      <c r="E3" s="27">
        <v>2</v>
      </c>
      <c r="F3" s="23"/>
      <c r="G3">
        <v>8861</v>
      </c>
      <c r="H3" t="s">
        <v>17</v>
      </c>
      <c r="I3" t="s">
        <v>8</v>
      </c>
      <c r="N3" t="s">
        <v>509</v>
      </c>
      <c r="O3" t="s">
        <v>509</v>
      </c>
      <c r="P3" t="s">
        <v>509</v>
      </c>
      <c r="AZ3">
        <f t="shared" si="0"/>
        <v>5</v>
      </c>
      <c r="BA3">
        <f t="shared" si="1"/>
        <v>16</v>
      </c>
      <c r="BB3">
        <f t="shared" si="2"/>
        <v>2024</v>
      </c>
      <c r="BD3" s="19">
        <v>45428</v>
      </c>
    </row>
    <row r="4" spans="1:56" x14ac:dyDescent="0.25">
      <c r="A4" s="25">
        <v>10269</v>
      </c>
      <c r="B4" t="s">
        <v>289</v>
      </c>
      <c r="C4" t="s">
        <v>289</v>
      </c>
      <c r="D4" s="27" t="s">
        <v>458</v>
      </c>
      <c r="E4" s="27">
        <v>3</v>
      </c>
      <c r="F4" s="23"/>
      <c r="G4">
        <v>9921</v>
      </c>
      <c r="H4" t="s">
        <v>17</v>
      </c>
      <c r="I4" t="s">
        <v>8</v>
      </c>
      <c r="N4" t="s">
        <v>509</v>
      </c>
      <c r="O4" t="s">
        <v>509</v>
      </c>
      <c r="P4" t="s">
        <v>509</v>
      </c>
      <c r="AZ4">
        <f t="shared" si="0"/>
        <v>5</v>
      </c>
      <c r="BA4">
        <f t="shared" si="1"/>
        <v>16</v>
      </c>
      <c r="BB4">
        <f t="shared" si="2"/>
        <v>2024</v>
      </c>
      <c r="BD4" s="19">
        <v>45428</v>
      </c>
    </row>
    <row r="5" spans="1:56" x14ac:dyDescent="0.25">
      <c r="A5" s="25">
        <v>10270</v>
      </c>
      <c r="B5" t="s">
        <v>290</v>
      </c>
      <c r="C5" t="s">
        <v>290</v>
      </c>
      <c r="D5" s="27" t="s">
        <v>459</v>
      </c>
      <c r="E5" s="27">
        <v>4</v>
      </c>
      <c r="F5" s="23"/>
      <c r="G5">
        <v>10891</v>
      </c>
      <c r="H5" t="s">
        <v>17</v>
      </c>
      <c r="I5" t="s">
        <v>8</v>
      </c>
      <c r="N5" t="s">
        <v>509</v>
      </c>
      <c r="O5" t="s">
        <v>509</v>
      </c>
      <c r="P5" t="s">
        <v>509</v>
      </c>
      <c r="AZ5">
        <f t="shared" si="0"/>
        <v>5</v>
      </c>
      <c r="BA5">
        <f t="shared" si="1"/>
        <v>16</v>
      </c>
      <c r="BB5">
        <f t="shared" si="2"/>
        <v>2024</v>
      </c>
      <c r="BD5" s="19">
        <v>45428</v>
      </c>
    </row>
    <row r="6" spans="1:56" x14ac:dyDescent="0.25">
      <c r="A6" s="25">
        <v>10271</v>
      </c>
      <c r="B6" t="s">
        <v>291</v>
      </c>
      <c r="C6" t="s">
        <v>291</v>
      </c>
      <c r="D6" s="27" t="s">
        <v>460</v>
      </c>
      <c r="E6" s="27">
        <v>5</v>
      </c>
      <c r="F6" s="23"/>
      <c r="G6">
        <v>12821</v>
      </c>
      <c r="H6" t="s">
        <v>17</v>
      </c>
      <c r="I6" t="s">
        <v>8</v>
      </c>
      <c r="N6" t="s">
        <v>509</v>
      </c>
      <c r="O6" t="s">
        <v>509</v>
      </c>
      <c r="P6" t="s">
        <v>509</v>
      </c>
      <c r="AZ6">
        <f t="shared" si="0"/>
        <v>5</v>
      </c>
      <c r="BA6">
        <f t="shared" si="1"/>
        <v>16</v>
      </c>
      <c r="BB6">
        <f t="shared" si="2"/>
        <v>2024</v>
      </c>
      <c r="BD6" s="19">
        <v>45428</v>
      </c>
    </row>
    <row r="7" spans="1:56" x14ac:dyDescent="0.25">
      <c r="A7" s="25">
        <v>10272</v>
      </c>
      <c r="B7" t="s">
        <v>292</v>
      </c>
      <c r="C7" t="s">
        <v>292</v>
      </c>
      <c r="D7" s="27" t="s">
        <v>461</v>
      </c>
      <c r="E7" s="27">
        <v>6</v>
      </c>
      <c r="F7" s="23"/>
      <c r="G7">
        <v>14351</v>
      </c>
      <c r="H7" t="s">
        <v>17</v>
      </c>
      <c r="I7" t="s">
        <v>8</v>
      </c>
      <c r="N7" t="s">
        <v>509</v>
      </c>
      <c r="O7" t="s">
        <v>509</v>
      </c>
      <c r="P7" t="s">
        <v>509</v>
      </c>
      <c r="AZ7">
        <f t="shared" si="0"/>
        <v>5</v>
      </c>
      <c r="BA7">
        <f t="shared" si="1"/>
        <v>16</v>
      </c>
      <c r="BB7">
        <f t="shared" si="2"/>
        <v>2024</v>
      </c>
      <c r="BD7" s="19">
        <v>45428</v>
      </c>
    </row>
    <row r="8" spans="1:56" x14ac:dyDescent="0.25">
      <c r="A8" s="25">
        <v>10273</v>
      </c>
      <c r="B8" t="s">
        <v>293</v>
      </c>
      <c r="C8" t="s">
        <v>293</v>
      </c>
      <c r="D8" s="27" t="s">
        <v>462</v>
      </c>
      <c r="E8" s="27">
        <v>7</v>
      </c>
      <c r="F8" s="23"/>
      <c r="G8">
        <v>6411</v>
      </c>
      <c r="H8" t="s">
        <v>17</v>
      </c>
      <c r="I8" t="s">
        <v>8</v>
      </c>
      <c r="N8" t="s">
        <v>509</v>
      </c>
      <c r="O8" t="s">
        <v>509</v>
      </c>
      <c r="P8" t="s">
        <v>509</v>
      </c>
      <c r="AZ8">
        <f t="shared" si="0"/>
        <v>5</v>
      </c>
      <c r="BA8">
        <f t="shared" si="1"/>
        <v>16</v>
      </c>
      <c r="BB8">
        <f t="shared" si="2"/>
        <v>2024</v>
      </c>
      <c r="BD8" s="19">
        <v>45428</v>
      </c>
    </row>
    <row r="9" spans="1:56" x14ac:dyDescent="0.25">
      <c r="A9" s="25">
        <v>10274</v>
      </c>
      <c r="B9" t="s">
        <v>294</v>
      </c>
      <c r="C9" t="s">
        <v>294</v>
      </c>
      <c r="D9" s="27" t="s">
        <v>463</v>
      </c>
      <c r="E9" s="27">
        <v>8</v>
      </c>
      <c r="F9" s="23"/>
      <c r="G9">
        <v>5401</v>
      </c>
      <c r="H9" t="s">
        <v>17</v>
      </c>
      <c r="I9" t="s">
        <v>8</v>
      </c>
      <c r="N9" t="s">
        <v>509</v>
      </c>
      <c r="O9" t="s">
        <v>509</v>
      </c>
      <c r="P9" t="s">
        <v>509</v>
      </c>
      <c r="AZ9">
        <f t="shared" si="0"/>
        <v>5</v>
      </c>
      <c r="BA9">
        <f t="shared" si="1"/>
        <v>16</v>
      </c>
      <c r="BB9">
        <f t="shared" si="2"/>
        <v>2024</v>
      </c>
      <c r="BD9" s="19">
        <v>45428</v>
      </c>
    </row>
    <row r="10" spans="1:56" x14ac:dyDescent="0.25">
      <c r="A10" s="25">
        <v>10275</v>
      </c>
      <c r="B10" t="s">
        <v>295</v>
      </c>
      <c r="C10" t="s">
        <v>295</v>
      </c>
      <c r="D10" s="27" t="s">
        <v>464</v>
      </c>
      <c r="E10" s="27">
        <v>9</v>
      </c>
      <c r="F10" s="23"/>
      <c r="G10">
        <v>4381</v>
      </c>
      <c r="H10" t="s">
        <v>17</v>
      </c>
      <c r="I10" t="s">
        <v>8</v>
      </c>
      <c r="N10" t="s">
        <v>509</v>
      </c>
      <c r="O10" t="s">
        <v>509</v>
      </c>
      <c r="P10" t="s">
        <v>509</v>
      </c>
      <c r="AZ10">
        <f t="shared" si="0"/>
        <v>5</v>
      </c>
      <c r="BA10">
        <f t="shared" si="1"/>
        <v>16</v>
      </c>
      <c r="BB10">
        <f t="shared" si="2"/>
        <v>2024</v>
      </c>
      <c r="BD10" s="19">
        <v>45428</v>
      </c>
    </row>
    <row r="11" spans="1:56" x14ac:dyDescent="0.25">
      <c r="A11" s="25">
        <v>10276</v>
      </c>
      <c r="B11" t="s">
        <v>296</v>
      </c>
      <c r="C11" t="s">
        <v>296</v>
      </c>
      <c r="D11" s="27" t="s">
        <v>465</v>
      </c>
      <c r="E11" s="27">
        <v>10</v>
      </c>
      <c r="F11" s="23"/>
      <c r="G11">
        <v>2851</v>
      </c>
      <c r="H11" t="s">
        <v>17</v>
      </c>
      <c r="I11" t="s">
        <v>8</v>
      </c>
      <c r="N11" t="s">
        <v>509</v>
      </c>
      <c r="O11" t="s">
        <v>509</v>
      </c>
      <c r="P11" t="s">
        <v>509</v>
      </c>
      <c r="AZ11">
        <f t="shared" si="0"/>
        <v>5</v>
      </c>
      <c r="BA11">
        <f t="shared" si="1"/>
        <v>16</v>
      </c>
      <c r="BB11">
        <f t="shared" si="2"/>
        <v>2024</v>
      </c>
      <c r="BD11" s="19">
        <v>45428</v>
      </c>
    </row>
    <row r="12" spans="1:56" x14ac:dyDescent="0.25">
      <c r="A12" s="25">
        <v>10277</v>
      </c>
      <c r="B12" t="s">
        <v>297</v>
      </c>
      <c r="C12" t="s">
        <v>297</v>
      </c>
      <c r="D12" s="27" t="s">
        <v>466</v>
      </c>
      <c r="E12" s="27">
        <v>11</v>
      </c>
      <c r="F12" s="23"/>
      <c r="G12">
        <v>1731</v>
      </c>
      <c r="H12" t="s">
        <v>17</v>
      </c>
      <c r="I12" t="s">
        <v>8</v>
      </c>
      <c r="N12" t="s">
        <v>509</v>
      </c>
      <c r="O12" t="s">
        <v>509</v>
      </c>
      <c r="P12" t="s">
        <v>509</v>
      </c>
      <c r="AZ12">
        <f t="shared" si="0"/>
        <v>5</v>
      </c>
      <c r="BA12">
        <f t="shared" si="1"/>
        <v>16</v>
      </c>
      <c r="BB12">
        <f t="shared" si="2"/>
        <v>2024</v>
      </c>
      <c r="BD12" s="19">
        <v>45428</v>
      </c>
    </row>
    <row r="13" spans="1:56" x14ac:dyDescent="0.25">
      <c r="A13" s="25">
        <v>10278</v>
      </c>
      <c r="B13" t="s">
        <v>298</v>
      </c>
      <c r="C13" t="s">
        <v>298</v>
      </c>
      <c r="D13" s="27" t="s">
        <v>467</v>
      </c>
      <c r="E13" s="27">
        <v>12</v>
      </c>
      <c r="F13" s="23"/>
      <c r="G13">
        <v>661</v>
      </c>
      <c r="H13" t="s">
        <v>17</v>
      </c>
      <c r="I13" t="s">
        <v>8</v>
      </c>
      <c r="N13" t="s">
        <v>509</v>
      </c>
      <c r="O13" t="s">
        <v>509</v>
      </c>
      <c r="P13" t="s">
        <v>509</v>
      </c>
      <c r="AZ13">
        <f t="shared" si="0"/>
        <v>5</v>
      </c>
      <c r="BA13">
        <f t="shared" si="1"/>
        <v>16</v>
      </c>
      <c r="BB13">
        <f t="shared" si="2"/>
        <v>2024</v>
      </c>
      <c r="BD13" s="19">
        <v>45428</v>
      </c>
    </row>
    <row r="14" spans="1:56" x14ac:dyDescent="0.25">
      <c r="A14" s="25">
        <v>10279</v>
      </c>
      <c r="B14" t="s">
        <v>299</v>
      </c>
      <c r="C14" t="s">
        <v>299</v>
      </c>
      <c r="D14" s="27" t="s">
        <v>468</v>
      </c>
      <c r="E14" s="27">
        <v>13</v>
      </c>
      <c r="F14" s="23"/>
      <c r="G14">
        <v>13553</v>
      </c>
      <c r="H14" t="s">
        <v>17</v>
      </c>
      <c r="I14" t="s">
        <v>8</v>
      </c>
      <c r="N14" t="s">
        <v>509</v>
      </c>
      <c r="O14" t="s">
        <v>509</v>
      </c>
      <c r="P14" t="s">
        <v>509</v>
      </c>
      <c r="AZ14">
        <f t="shared" si="0"/>
        <v>5</v>
      </c>
      <c r="BA14">
        <f t="shared" si="1"/>
        <v>16</v>
      </c>
      <c r="BB14">
        <f t="shared" si="2"/>
        <v>2024</v>
      </c>
      <c r="BD14" s="19">
        <v>45428</v>
      </c>
    </row>
    <row r="15" spans="1:56" x14ac:dyDescent="0.25">
      <c r="A15" s="25">
        <v>10280</v>
      </c>
      <c r="B15" t="s">
        <v>300</v>
      </c>
      <c r="C15" t="s">
        <v>300</v>
      </c>
      <c r="D15" s="27" t="s">
        <v>469</v>
      </c>
      <c r="E15" s="27">
        <v>1</v>
      </c>
      <c r="F15" s="56"/>
      <c r="G15" s="56"/>
      <c r="H15" t="s">
        <v>17</v>
      </c>
      <c r="I15" t="s">
        <v>9</v>
      </c>
      <c r="J15">
        <v>2.3699999999999999E-2</v>
      </c>
      <c r="K15">
        <v>2.3460000000000001</v>
      </c>
      <c r="L15">
        <v>2.1999999999999999E-2</v>
      </c>
      <c r="N15" t="s">
        <v>509</v>
      </c>
      <c r="O15">
        <v>15.24</v>
      </c>
      <c r="P15">
        <v>4.416666666666667</v>
      </c>
      <c r="Q15" s="111">
        <v>3.423036292706092</v>
      </c>
      <c r="R15" s="111">
        <v>1.417308304427668</v>
      </c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>
        <f t="shared" si="0"/>
        <v>5</v>
      </c>
      <c r="BA15">
        <f t="shared" si="1"/>
        <v>30</v>
      </c>
      <c r="BB15">
        <f t="shared" si="2"/>
        <v>2024</v>
      </c>
      <c r="BD15" s="19">
        <v>45442</v>
      </c>
    </row>
    <row r="16" spans="1:56" x14ac:dyDescent="0.25">
      <c r="A16" s="25">
        <v>10281</v>
      </c>
      <c r="B16" t="s">
        <v>301</v>
      </c>
      <c r="C16" t="s">
        <v>301</v>
      </c>
      <c r="D16" s="27" t="s">
        <v>470</v>
      </c>
      <c r="E16" s="27">
        <v>2</v>
      </c>
      <c r="F16" s="56"/>
      <c r="G16" s="56"/>
      <c r="H16" t="s">
        <v>17</v>
      </c>
      <c r="I16" t="s">
        <v>9</v>
      </c>
      <c r="J16">
        <v>1.21E-2</v>
      </c>
      <c r="K16">
        <v>2.141</v>
      </c>
      <c r="L16">
        <v>2.1999999999999999E-2</v>
      </c>
      <c r="N16" t="s">
        <v>509</v>
      </c>
      <c r="O16">
        <v>30.76</v>
      </c>
      <c r="P16">
        <v>3.6766666666666672</v>
      </c>
      <c r="Q16">
        <v>3.6740972461472277</v>
      </c>
      <c r="R16">
        <v>1.360449160035367</v>
      </c>
      <c r="AZ16">
        <f t="shared" si="0"/>
        <v>5</v>
      </c>
      <c r="BA16">
        <f t="shared" si="1"/>
        <v>30</v>
      </c>
      <c r="BB16">
        <f t="shared" si="2"/>
        <v>2024</v>
      </c>
      <c r="BD16" s="19">
        <v>45442</v>
      </c>
    </row>
    <row r="17" spans="1:56" x14ac:dyDescent="0.25">
      <c r="A17" s="25">
        <v>10282</v>
      </c>
      <c r="B17" t="s">
        <v>302</v>
      </c>
      <c r="C17" t="s">
        <v>302</v>
      </c>
      <c r="D17" s="27" t="s">
        <v>471</v>
      </c>
      <c r="E17" s="27">
        <v>3</v>
      </c>
      <c r="F17" s="56"/>
      <c r="G17" s="56"/>
      <c r="H17" t="s">
        <v>17</v>
      </c>
      <c r="I17" t="s">
        <v>9</v>
      </c>
      <c r="J17">
        <v>1.5299999999999999E-2</v>
      </c>
      <c r="K17">
        <v>2.3130000000000002</v>
      </c>
      <c r="L17">
        <v>2.8000000000000001E-2</v>
      </c>
      <c r="N17" t="s">
        <v>509</v>
      </c>
      <c r="O17">
        <v>24.08666666666667</v>
      </c>
      <c r="P17">
        <v>10.183333333333334</v>
      </c>
      <c r="Q17">
        <v>4.1235465996505454</v>
      </c>
      <c r="R17">
        <v>1.31583241515337</v>
      </c>
      <c r="AZ17">
        <f t="shared" si="0"/>
        <v>5</v>
      </c>
      <c r="BA17">
        <f t="shared" si="1"/>
        <v>30</v>
      </c>
      <c r="BB17">
        <f t="shared" si="2"/>
        <v>2024</v>
      </c>
      <c r="BD17" s="19">
        <v>45442</v>
      </c>
    </row>
    <row r="18" spans="1:56" x14ac:dyDescent="0.25">
      <c r="A18" s="25">
        <v>10283</v>
      </c>
      <c r="B18" t="s">
        <v>303</v>
      </c>
      <c r="C18" t="s">
        <v>303</v>
      </c>
      <c r="D18" s="27" t="s">
        <v>472</v>
      </c>
      <c r="E18" s="27">
        <v>4</v>
      </c>
      <c r="F18" s="56"/>
      <c r="G18" s="56"/>
      <c r="H18" t="s">
        <v>17</v>
      </c>
      <c r="I18" t="s">
        <v>9</v>
      </c>
      <c r="J18">
        <v>1.35E-2</v>
      </c>
      <c r="K18">
        <v>2.08</v>
      </c>
      <c r="L18">
        <v>0.02</v>
      </c>
      <c r="N18" t="s">
        <v>509</v>
      </c>
      <c r="O18">
        <v>32.550000000000004</v>
      </c>
      <c r="P18">
        <v>8.5200000000000014</v>
      </c>
      <c r="Q18">
        <v>3.442268705288539</v>
      </c>
      <c r="R18">
        <v>1.2285032986465347</v>
      </c>
      <c r="AZ18">
        <f t="shared" si="0"/>
        <v>5</v>
      </c>
      <c r="BA18">
        <f t="shared" si="1"/>
        <v>30</v>
      </c>
      <c r="BB18">
        <f t="shared" si="2"/>
        <v>2024</v>
      </c>
      <c r="BD18" s="19">
        <v>45442</v>
      </c>
    </row>
    <row r="19" spans="1:56" x14ac:dyDescent="0.25">
      <c r="A19" s="25">
        <v>10284</v>
      </c>
      <c r="B19" t="s">
        <v>304</v>
      </c>
      <c r="C19" t="s">
        <v>304</v>
      </c>
      <c r="D19" s="27" t="s">
        <v>473</v>
      </c>
      <c r="E19" s="27">
        <v>5</v>
      </c>
      <c r="F19" s="56"/>
      <c r="G19" s="56"/>
      <c r="H19" t="s">
        <v>17</v>
      </c>
      <c r="I19" t="s">
        <v>9</v>
      </c>
      <c r="J19">
        <v>1.29E-2</v>
      </c>
      <c r="K19">
        <v>2.2069999999999999</v>
      </c>
      <c r="L19">
        <v>0.02</v>
      </c>
      <c r="N19" t="s">
        <v>509</v>
      </c>
      <c r="O19">
        <v>55.443333333333335</v>
      </c>
      <c r="P19">
        <v>5.7366666666666672</v>
      </c>
      <c r="Q19">
        <v>3.2125193441684932</v>
      </c>
      <c r="R19">
        <v>1.0851311977147522</v>
      </c>
      <c r="AZ19">
        <f t="shared" si="0"/>
        <v>5</v>
      </c>
      <c r="BA19">
        <f t="shared" si="1"/>
        <v>30</v>
      </c>
      <c r="BB19">
        <f t="shared" si="2"/>
        <v>2024</v>
      </c>
      <c r="BD19" s="19">
        <v>45442</v>
      </c>
    </row>
    <row r="20" spans="1:56" x14ac:dyDescent="0.25">
      <c r="A20" s="25">
        <v>10285</v>
      </c>
      <c r="B20" t="s">
        <v>305</v>
      </c>
      <c r="C20" t="s">
        <v>305</v>
      </c>
      <c r="D20" s="27" t="s">
        <v>474</v>
      </c>
      <c r="E20" s="27">
        <v>6</v>
      </c>
      <c r="F20" s="56"/>
      <c r="G20" s="56"/>
      <c r="H20" t="s">
        <v>17</v>
      </c>
      <c r="I20" t="s">
        <v>9</v>
      </c>
      <c r="J20">
        <v>1.34E-2</v>
      </c>
      <c r="K20">
        <v>2.0939999999999999</v>
      </c>
      <c r="L20">
        <v>1.2E-2</v>
      </c>
      <c r="N20" t="s">
        <v>509</v>
      </c>
      <c r="O20">
        <v>74.263333333333335</v>
      </c>
      <c r="P20">
        <v>5.7766666666666664</v>
      </c>
      <c r="Q20">
        <v>2.875692226508336</v>
      </c>
      <c r="R20">
        <v>0.99698592124056329</v>
      </c>
      <c r="AZ20">
        <f t="shared" si="0"/>
        <v>5</v>
      </c>
      <c r="BA20">
        <f t="shared" si="1"/>
        <v>30</v>
      </c>
      <c r="BB20">
        <f t="shared" si="2"/>
        <v>2024</v>
      </c>
      <c r="BD20" s="19">
        <v>45442</v>
      </c>
    </row>
    <row r="21" spans="1:56" x14ac:dyDescent="0.25">
      <c r="A21" s="25">
        <v>10286</v>
      </c>
      <c r="B21" t="s">
        <v>306</v>
      </c>
      <c r="C21" t="s">
        <v>306</v>
      </c>
      <c r="D21" s="27" t="s">
        <v>475</v>
      </c>
      <c r="E21" s="27">
        <v>7</v>
      </c>
      <c r="F21" s="56"/>
      <c r="G21" s="56"/>
      <c r="H21" t="s">
        <v>17</v>
      </c>
      <c r="I21" t="s">
        <v>9</v>
      </c>
      <c r="J21">
        <v>1.34E-2</v>
      </c>
      <c r="K21">
        <v>2.2559999999999998</v>
      </c>
      <c r="L21">
        <v>1.2999999999999999E-2</v>
      </c>
      <c r="N21" t="s">
        <v>509</v>
      </c>
      <c r="O21">
        <v>32.153333333333329</v>
      </c>
      <c r="P21">
        <v>9.2233333333333345</v>
      </c>
      <c r="Q21">
        <v>3.0207150132786813</v>
      </c>
      <c r="R21">
        <v>1.068535945045229</v>
      </c>
      <c r="AZ21">
        <f t="shared" si="0"/>
        <v>5</v>
      </c>
      <c r="BA21">
        <f t="shared" si="1"/>
        <v>30</v>
      </c>
      <c r="BB21">
        <f t="shared" si="2"/>
        <v>2024</v>
      </c>
      <c r="BD21" s="19">
        <v>45442</v>
      </c>
    </row>
    <row r="22" spans="1:56" x14ac:dyDescent="0.25">
      <c r="A22" s="25">
        <v>10287</v>
      </c>
      <c r="B22" t="s">
        <v>307</v>
      </c>
      <c r="C22" t="s">
        <v>307</v>
      </c>
      <c r="D22" s="27" t="s">
        <v>476</v>
      </c>
      <c r="E22" s="27">
        <v>8</v>
      </c>
      <c r="F22" s="56"/>
      <c r="H22" t="s">
        <v>17</v>
      </c>
      <c r="I22" t="s">
        <v>9</v>
      </c>
      <c r="J22">
        <v>2.5700000000000001E-2</v>
      </c>
      <c r="K22">
        <v>2.286</v>
      </c>
      <c r="L22">
        <v>3.0000000000000001E-3</v>
      </c>
      <c r="N22" t="s">
        <v>509</v>
      </c>
      <c r="O22">
        <v>31.983333333333334</v>
      </c>
      <c r="P22">
        <v>8.1399999999999988</v>
      </c>
      <c r="Q22">
        <v>3.0435859904037539</v>
      </c>
      <c r="R22">
        <v>1.877010406039584</v>
      </c>
      <c r="AZ22">
        <f t="shared" si="0"/>
        <v>5</v>
      </c>
      <c r="BA22">
        <f t="shared" si="1"/>
        <v>30</v>
      </c>
      <c r="BB22">
        <f t="shared" si="2"/>
        <v>2024</v>
      </c>
      <c r="BD22" s="19">
        <v>45442</v>
      </c>
    </row>
    <row r="23" spans="1:56" x14ac:dyDescent="0.25">
      <c r="A23" s="25">
        <v>10288</v>
      </c>
      <c r="B23" t="s">
        <v>625</v>
      </c>
      <c r="C23" t="s">
        <v>625</v>
      </c>
      <c r="D23" s="27">
        <v>4105</v>
      </c>
      <c r="E23" s="27">
        <v>5</v>
      </c>
      <c r="F23" s="56"/>
      <c r="G23">
        <v>6425</v>
      </c>
      <c r="H23" s="23" t="s">
        <v>18</v>
      </c>
      <c r="I23" t="s">
        <v>8</v>
      </c>
      <c r="J23">
        <v>-2.3999999999999998E-3</v>
      </c>
      <c r="K23">
        <v>3.6349999999999998</v>
      </c>
      <c r="L23">
        <v>0.33500000000000002</v>
      </c>
      <c r="M23">
        <v>0.05</v>
      </c>
      <c r="N23" t="s">
        <v>509</v>
      </c>
      <c r="O23">
        <v>50.594999999999999</v>
      </c>
      <c r="P23">
        <v>10.07</v>
      </c>
      <c r="Q23" s="27">
        <v>2.7772024917077909</v>
      </c>
      <c r="R23" s="27">
        <v>1.5239797786342895</v>
      </c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>
        <f t="shared" si="0"/>
        <v>6</v>
      </c>
      <c r="BA23">
        <f t="shared" si="1"/>
        <v>4</v>
      </c>
      <c r="BB23">
        <f t="shared" si="2"/>
        <v>2024</v>
      </c>
      <c r="BD23" s="22">
        <v>45447</v>
      </c>
    </row>
    <row r="24" spans="1:56" x14ac:dyDescent="0.25">
      <c r="A24" s="25">
        <v>10289</v>
      </c>
      <c r="B24" t="s">
        <v>308</v>
      </c>
      <c r="C24" t="s">
        <v>308</v>
      </c>
      <c r="D24" s="27" t="s">
        <v>477</v>
      </c>
      <c r="E24" s="27">
        <v>6</v>
      </c>
      <c r="F24" s="56"/>
      <c r="G24">
        <v>8245</v>
      </c>
      <c r="H24" t="s">
        <v>18</v>
      </c>
      <c r="I24" t="s">
        <v>8</v>
      </c>
      <c r="J24">
        <v>1.14E-2</v>
      </c>
      <c r="K24">
        <v>3.2829999999999999</v>
      </c>
      <c r="L24">
        <v>0.246</v>
      </c>
      <c r="M24">
        <v>0.05</v>
      </c>
      <c r="N24" t="s">
        <v>509</v>
      </c>
      <c r="O24">
        <v>1.4566666666666668</v>
      </c>
      <c r="P24">
        <v>2.4666666666666668</v>
      </c>
      <c r="Q24" s="27">
        <v>3.417826227651485</v>
      </c>
      <c r="R24" s="27">
        <v>2.3010633716008497</v>
      </c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>
        <f t="shared" si="0"/>
        <v>6</v>
      </c>
      <c r="BA24">
        <f t="shared" si="1"/>
        <v>4</v>
      </c>
      <c r="BB24">
        <f t="shared" si="2"/>
        <v>2024</v>
      </c>
      <c r="BD24" s="19">
        <v>45447</v>
      </c>
    </row>
    <row r="25" spans="1:56" x14ac:dyDescent="0.25">
      <c r="A25" s="25">
        <v>10290</v>
      </c>
      <c r="B25" t="s">
        <v>309</v>
      </c>
      <c r="C25" t="s">
        <v>309</v>
      </c>
      <c r="D25" s="27" t="s">
        <v>478</v>
      </c>
      <c r="E25" s="27">
        <v>8</v>
      </c>
      <c r="F25" s="56"/>
      <c r="G25">
        <v>5065</v>
      </c>
      <c r="H25" t="s">
        <v>18</v>
      </c>
      <c r="I25" t="s">
        <v>8</v>
      </c>
      <c r="J25">
        <v>1.7100000000000001E-2</v>
      </c>
      <c r="K25">
        <v>5.7089999999999996</v>
      </c>
      <c r="L25">
        <v>0.24199999999999999</v>
      </c>
      <c r="N25" t="s">
        <v>509</v>
      </c>
      <c r="O25">
        <v>1.7233333333333334</v>
      </c>
      <c r="P25">
        <v>2.9</v>
      </c>
      <c r="Q25" s="27">
        <v>2.5142787800339779</v>
      </c>
      <c r="R25" s="27">
        <v>3.2934542078017173</v>
      </c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>
        <f t="shared" si="0"/>
        <v>6</v>
      </c>
      <c r="BA25">
        <f t="shared" si="1"/>
        <v>4</v>
      </c>
      <c r="BB25">
        <f t="shared" si="2"/>
        <v>2024</v>
      </c>
      <c r="BD25" s="19">
        <v>45447</v>
      </c>
    </row>
    <row r="26" spans="1:56" x14ac:dyDescent="0.25">
      <c r="A26" s="25">
        <v>10291</v>
      </c>
      <c r="B26" t="s">
        <v>310</v>
      </c>
      <c r="C26" t="s">
        <v>310</v>
      </c>
      <c r="D26" s="27" t="s">
        <v>479</v>
      </c>
      <c r="E26" s="27">
        <v>9</v>
      </c>
      <c r="F26" s="56"/>
      <c r="G26">
        <v>3385</v>
      </c>
      <c r="H26" t="s">
        <v>18</v>
      </c>
      <c r="I26" t="s">
        <v>8</v>
      </c>
      <c r="J26">
        <v>7.4999999999999997E-3</v>
      </c>
      <c r="K26">
        <v>2.532</v>
      </c>
      <c r="L26">
        <v>0.23499999999999999</v>
      </c>
      <c r="M26">
        <v>0.05</v>
      </c>
      <c r="N26" t="s">
        <v>509</v>
      </c>
      <c r="O26">
        <v>23.366666666666664</v>
      </c>
      <c r="P26">
        <v>15.716666666666667</v>
      </c>
      <c r="Q26" s="27">
        <v>3.5644567591618803</v>
      </c>
      <c r="R26" s="27">
        <v>2.6049553194085977</v>
      </c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>
        <f t="shared" si="0"/>
        <v>6</v>
      </c>
      <c r="BA26">
        <f t="shared" si="1"/>
        <v>4</v>
      </c>
      <c r="BB26">
        <f t="shared" si="2"/>
        <v>2024</v>
      </c>
      <c r="BD26" s="19">
        <v>45447</v>
      </c>
    </row>
    <row r="27" spans="1:56" x14ac:dyDescent="0.25">
      <c r="A27" s="25">
        <v>10292</v>
      </c>
      <c r="B27" t="s">
        <v>311</v>
      </c>
      <c r="C27" t="s">
        <v>311</v>
      </c>
      <c r="D27" s="27" t="s">
        <v>480</v>
      </c>
      <c r="E27" s="27">
        <v>10</v>
      </c>
      <c r="F27" s="56"/>
      <c r="G27">
        <v>2205</v>
      </c>
      <c r="H27" t="s">
        <v>18</v>
      </c>
      <c r="I27" t="s">
        <v>8</v>
      </c>
      <c r="J27">
        <v>-3.8999999999999998E-3</v>
      </c>
      <c r="K27">
        <v>3.5329999999999999</v>
      </c>
      <c r="L27">
        <v>0.24199999999999999</v>
      </c>
      <c r="M27">
        <v>0.05</v>
      </c>
      <c r="N27" t="s">
        <v>509</v>
      </c>
      <c r="O27">
        <v>26.55</v>
      </c>
      <c r="P27">
        <v>3.7266666666666666</v>
      </c>
      <c r="Q27" s="27">
        <v>3.2256896691206198</v>
      </c>
      <c r="R27" s="27">
        <v>2.2215591037148901</v>
      </c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>
        <f t="shared" si="0"/>
        <v>6</v>
      </c>
      <c r="BA27">
        <f t="shared" si="1"/>
        <v>4</v>
      </c>
      <c r="BB27">
        <f t="shared" si="2"/>
        <v>2024</v>
      </c>
      <c r="BD27" s="19">
        <v>45447</v>
      </c>
    </row>
    <row r="28" spans="1:56" x14ac:dyDescent="0.25">
      <c r="A28" s="25">
        <v>10293</v>
      </c>
      <c r="B28" t="s">
        <v>312</v>
      </c>
      <c r="C28" t="s">
        <v>312</v>
      </c>
      <c r="D28" s="27" t="s">
        <v>481</v>
      </c>
      <c r="E28" s="27">
        <v>11</v>
      </c>
      <c r="F28" s="56"/>
      <c r="G28">
        <v>1385</v>
      </c>
      <c r="H28" t="s">
        <v>18</v>
      </c>
      <c r="I28" t="s">
        <v>8</v>
      </c>
      <c r="J28">
        <v>-3.0999999999999999E-3</v>
      </c>
      <c r="K28">
        <v>5.0369999999999999</v>
      </c>
      <c r="L28">
        <v>0.24199999999999999</v>
      </c>
      <c r="M28">
        <v>0.05</v>
      </c>
      <c r="N28" t="s">
        <v>509</v>
      </c>
      <c r="O28">
        <v>41.636666666666663</v>
      </c>
      <c r="P28">
        <v>32.410000000000004</v>
      </c>
      <c r="Q28" s="27">
        <v>3.5776029447455713</v>
      </c>
      <c r="R28" s="27">
        <v>3.3880925368334802</v>
      </c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>
        <f t="shared" si="0"/>
        <v>6</v>
      </c>
      <c r="BA28">
        <f t="shared" si="1"/>
        <v>4</v>
      </c>
      <c r="BB28">
        <f t="shared" si="2"/>
        <v>2024</v>
      </c>
      <c r="BD28" s="19">
        <v>45447</v>
      </c>
    </row>
    <row r="29" spans="1:56" x14ac:dyDescent="0.25">
      <c r="A29" s="25">
        <v>10294</v>
      </c>
      <c r="B29" t="s">
        <v>313</v>
      </c>
      <c r="C29" t="s">
        <v>313</v>
      </c>
      <c r="D29" s="27" t="s">
        <v>482</v>
      </c>
      <c r="E29" s="27">
        <v>12</v>
      </c>
      <c r="F29" s="56"/>
      <c r="G29">
        <v>275</v>
      </c>
      <c r="H29" t="s">
        <v>18</v>
      </c>
      <c r="I29" t="s">
        <v>8</v>
      </c>
      <c r="J29">
        <v>2.81E-2</v>
      </c>
      <c r="K29">
        <v>3.9940000000000002</v>
      </c>
      <c r="L29">
        <v>0.24099999999999999</v>
      </c>
      <c r="N29" t="s">
        <v>509</v>
      </c>
      <c r="O29">
        <v>28.046666666666667</v>
      </c>
      <c r="P29">
        <v>24.44</v>
      </c>
      <c r="Q29" s="27">
        <v>3.355634657390179</v>
      </c>
      <c r="R29" s="27">
        <v>2.6428913660140805</v>
      </c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>
        <f t="shared" si="0"/>
        <v>6</v>
      </c>
      <c r="BA29">
        <f t="shared" si="1"/>
        <v>4</v>
      </c>
      <c r="BB29">
        <f t="shared" si="2"/>
        <v>2024</v>
      </c>
      <c r="BD29" s="19">
        <v>45447</v>
      </c>
    </row>
    <row r="30" spans="1:56" x14ac:dyDescent="0.25">
      <c r="A30" s="25">
        <v>10295</v>
      </c>
      <c r="B30" t="s">
        <v>314</v>
      </c>
      <c r="C30" t="s">
        <v>314</v>
      </c>
      <c r="D30" s="27" t="s">
        <v>483</v>
      </c>
      <c r="E30" s="27">
        <v>14</v>
      </c>
      <c r="F30" s="56"/>
      <c r="G30">
        <v>4225</v>
      </c>
      <c r="H30" t="s">
        <v>18</v>
      </c>
      <c r="I30" t="s">
        <v>8</v>
      </c>
      <c r="J30">
        <v>1.4500000000000001E-2</v>
      </c>
      <c r="K30">
        <v>3.2130000000000001</v>
      </c>
      <c r="L30">
        <v>0.254</v>
      </c>
      <c r="N30" t="s">
        <v>509</v>
      </c>
      <c r="O30">
        <v>3.83</v>
      </c>
      <c r="P30">
        <v>3.25</v>
      </c>
      <c r="Q30" s="27">
        <v>3.3359153790146427</v>
      </c>
      <c r="R30" s="27">
        <v>2.3030812464202901</v>
      </c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>
        <f t="shared" si="0"/>
        <v>6</v>
      </c>
      <c r="BA30">
        <f t="shared" si="1"/>
        <v>4</v>
      </c>
      <c r="BB30">
        <f t="shared" si="2"/>
        <v>2024</v>
      </c>
      <c r="BD30" s="19">
        <v>45447</v>
      </c>
    </row>
    <row r="31" spans="1:56" x14ac:dyDescent="0.25">
      <c r="A31" s="25">
        <v>10296</v>
      </c>
      <c r="B31" t="s">
        <v>315</v>
      </c>
      <c r="C31" t="s">
        <v>315</v>
      </c>
      <c r="D31" s="27" t="s">
        <v>484</v>
      </c>
      <c r="E31" s="27">
        <v>15</v>
      </c>
      <c r="F31" s="56"/>
      <c r="G31">
        <v>2905</v>
      </c>
      <c r="H31" t="s">
        <v>18</v>
      </c>
      <c r="I31" t="s">
        <v>8</v>
      </c>
      <c r="J31">
        <v>2.9999999999999997E-4</v>
      </c>
      <c r="K31">
        <v>3.6190000000000002</v>
      </c>
      <c r="L31">
        <v>0.21</v>
      </c>
      <c r="N31" t="s">
        <v>509</v>
      </c>
      <c r="O31">
        <v>16.783333333333335</v>
      </c>
      <c r="P31">
        <v>2.78</v>
      </c>
      <c r="Q31" s="27">
        <v>3.084115362834722</v>
      </c>
      <c r="R31" s="27">
        <v>2.1791837325066394</v>
      </c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>
        <f t="shared" si="0"/>
        <v>6</v>
      </c>
      <c r="BA31">
        <f t="shared" si="1"/>
        <v>4</v>
      </c>
      <c r="BB31">
        <f t="shared" si="2"/>
        <v>2024</v>
      </c>
      <c r="BD31" s="19">
        <v>45447</v>
      </c>
    </row>
    <row r="32" spans="1:56" x14ac:dyDescent="0.25">
      <c r="A32" s="25">
        <v>10297</v>
      </c>
      <c r="B32" t="s">
        <v>316</v>
      </c>
      <c r="C32" t="s">
        <v>316</v>
      </c>
      <c r="D32" s="27" t="s">
        <v>485</v>
      </c>
      <c r="E32" s="27">
        <v>1</v>
      </c>
      <c r="F32" s="56"/>
      <c r="G32">
        <v>5210</v>
      </c>
      <c r="H32" t="s">
        <v>19</v>
      </c>
      <c r="I32" t="s">
        <v>8</v>
      </c>
      <c r="J32">
        <v>-0.49569999999999997</v>
      </c>
      <c r="K32">
        <v>2.8149999999999999</v>
      </c>
      <c r="L32">
        <v>2.7E-2</v>
      </c>
      <c r="M32">
        <v>0.05</v>
      </c>
      <c r="N32" t="s">
        <v>509</v>
      </c>
      <c r="O32">
        <v>34.299999999999997</v>
      </c>
      <c r="P32">
        <v>20.306666666666668</v>
      </c>
      <c r="Q32" s="23">
        <v>3.580014362973635</v>
      </c>
      <c r="R32" s="23">
        <v>1.4130914779296742</v>
      </c>
      <c r="S32" s="23">
        <v>189.334</v>
      </c>
      <c r="T32" s="23">
        <v>324.036</v>
      </c>
      <c r="U32" s="23">
        <v>474.27600000000001</v>
      </c>
      <c r="V32" s="23">
        <v>541.399</v>
      </c>
      <c r="W32" s="23">
        <v>545.11900000000003</v>
      </c>
      <c r="X32" s="23">
        <v>487.19</v>
      </c>
      <c r="Y32" s="23">
        <v>538.32100000000003</v>
      </c>
      <c r="Z32" s="23">
        <v>489.82</v>
      </c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>
        <f t="shared" si="0"/>
        <v>6</v>
      </c>
      <c r="BA32">
        <f t="shared" si="1"/>
        <v>6</v>
      </c>
      <c r="BB32">
        <f t="shared" si="2"/>
        <v>2024</v>
      </c>
      <c r="BD32" s="19">
        <v>45449</v>
      </c>
    </row>
    <row r="33" spans="1:56" x14ac:dyDescent="0.25">
      <c r="A33" s="25">
        <v>10298</v>
      </c>
      <c r="B33" t="s">
        <v>317</v>
      </c>
      <c r="C33" t="s">
        <v>317</v>
      </c>
      <c r="D33" s="27" t="s">
        <v>486</v>
      </c>
      <c r="E33" s="27">
        <v>2</v>
      </c>
      <c r="F33" s="56"/>
      <c r="G33">
        <v>5430</v>
      </c>
      <c r="H33" t="s">
        <v>19</v>
      </c>
      <c r="I33" t="s">
        <v>8</v>
      </c>
      <c r="J33">
        <v>-0.495</v>
      </c>
      <c r="K33">
        <v>4.4690000000000003</v>
      </c>
      <c r="L33">
        <v>6.2E-2</v>
      </c>
      <c r="M33">
        <v>0.05</v>
      </c>
      <c r="N33" t="s">
        <v>509</v>
      </c>
      <c r="O33">
        <v>22.136666666666667</v>
      </c>
      <c r="P33">
        <v>10.876666666666667</v>
      </c>
      <c r="Q33">
        <v>3.5394703580700972</v>
      </c>
      <c r="R33">
        <v>1.8506892470924301</v>
      </c>
      <c r="S33">
        <v>100.66800000000001</v>
      </c>
      <c r="T33">
        <v>221.054</v>
      </c>
      <c r="U33">
        <v>368.52199999999999</v>
      </c>
      <c r="V33">
        <v>443.435</v>
      </c>
      <c r="W33">
        <v>445.58199999999999</v>
      </c>
      <c r="X33">
        <v>371.50799999999998</v>
      </c>
      <c r="Y33">
        <v>439.327</v>
      </c>
      <c r="Z33">
        <v>409.00400000000002</v>
      </c>
      <c r="AA33">
        <v>0.49099999999999999</v>
      </c>
      <c r="AB33">
        <v>733</v>
      </c>
      <c r="AC33">
        <v>361.9</v>
      </c>
      <c r="AD33">
        <v>369.2</v>
      </c>
      <c r="AE33">
        <v>240</v>
      </c>
      <c r="AF33">
        <v>0.18</v>
      </c>
      <c r="AG33">
        <v>370</v>
      </c>
      <c r="AH33">
        <v>0.48099999999999998</v>
      </c>
      <c r="AI33">
        <v>0.69599999999999995</v>
      </c>
      <c r="AJ33">
        <v>111.1</v>
      </c>
      <c r="AK33">
        <v>9.35</v>
      </c>
      <c r="AL33">
        <v>114.7</v>
      </c>
      <c r="AM33">
        <v>40.770879999999998</v>
      </c>
      <c r="AN33">
        <v>-85.646889999999999</v>
      </c>
      <c r="AO33">
        <v>232.2</v>
      </c>
      <c r="AP33">
        <v>119.3</v>
      </c>
      <c r="AQ33">
        <v>8.5</v>
      </c>
      <c r="AR33">
        <v>-102.4</v>
      </c>
      <c r="AS33">
        <v>12.1</v>
      </c>
      <c r="AT33">
        <v>0</v>
      </c>
      <c r="AU33">
        <v>23.96</v>
      </c>
      <c r="AV33">
        <v>10.46</v>
      </c>
      <c r="AW33">
        <v>0</v>
      </c>
      <c r="AX33">
        <v>-85.647150420000003</v>
      </c>
      <c r="AY33">
        <v>40.770774430000003</v>
      </c>
      <c r="AZ33">
        <f t="shared" si="0"/>
        <v>6</v>
      </c>
      <c r="BA33">
        <f t="shared" si="1"/>
        <v>6</v>
      </c>
      <c r="BB33">
        <f t="shared" si="2"/>
        <v>2024</v>
      </c>
      <c r="BD33" s="19">
        <v>45449</v>
      </c>
    </row>
    <row r="34" spans="1:56" x14ac:dyDescent="0.25">
      <c r="A34" s="25">
        <v>10299</v>
      </c>
      <c r="B34" t="s">
        <v>318</v>
      </c>
      <c r="C34" t="s">
        <v>318</v>
      </c>
      <c r="D34" s="27" t="s">
        <v>487</v>
      </c>
      <c r="E34" s="27">
        <v>3</v>
      </c>
      <c r="F34" s="56"/>
      <c r="G34">
        <v>4180</v>
      </c>
      <c r="H34" t="s">
        <v>19</v>
      </c>
      <c r="I34" t="s">
        <v>8</v>
      </c>
      <c r="J34">
        <v>-0.50170000000000003</v>
      </c>
      <c r="K34">
        <v>3.4350000000000001</v>
      </c>
      <c r="L34">
        <v>3.7999999999999999E-2</v>
      </c>
      <c r="M34">
        <v>0.05</v>
      </c>
      <c r="N34" t="s">
        <v>509</v>
      </c>
      <c r="O34">
        <v>19.309999999999999</v>
      </c>
      <c r="P34">
        <v>4.3366666666666669</v>
      </c>
      <c r="Q34">
        <v>3.9367669531291201</v>
      </c>
      <c r="R34">
        <v>2.1204301163027957</v>
      </c>
      <c r="S34">
        <v>232.24299999999999</v>
      </c>
      <c r="T34">
        <v>380.16800000000001</v>
      </c>
      <c r="U34">
        <v>529.03099999999995</v>
      </c>
      <c r="V34">
        <v>594.10299999999995</v>
      </c>
      <c r="W34">
        <v>612.60199999999998</v>
      </c>
      <c r="X34">
        <v>566.48400000000004</v>
      </c>
      <c r="Y34">
        <v>572.21500000000003</v>
      </c>
      <c r="Z34">
        <v>499.47500000000002</v>
      </c>
      <c r="AA34">
        <v>0.46</v>
      </c>
      <c r="AB34">
        <v>732.9</v>
      </c>
      <c r="AC34">
        <v>362.1</v>
      </c>
      <c r="AD34">
        <v>369.4</v>
      </c>
      <c r="AE34">
        <v>240</v>
      </c>
      <c r="AF34">
        <v>0.18</v>
      </c>
      <c r="AG34">
        <v>370.1</v>
      </c>
      <c r="AH34">
        <v>0.41699999999999998</v>
      </c>
      <c r="AI34">
        <v>0.65300000000000002</v>
      </c>
      <c r="AJ34">
        <v>104.7</v>
      </c>
      <c r="AK34">
        <v>8.81</v>
      </c>
      <c r="AL34">
        <v>108.2</v>
      </c>
      <c r="AM34">
        <v>40.780659999999997</v>
      </c>
      <c r="AN34">
        <v>-85.644239999999996</v>
      </c>
      <c r="AO34">
        <v>224.1</v>
      </c>
      <c r="AP34">
        <v>102.4</v>
      </c>
      <c r="AQ34">
        <v>8.44</v>
      </c>
      <c r="AR34">
        <v>-99</v>
      </c>
      <c r="AS34">
        <v>12.1</v>
      </c>
      <c r="AT34">
        <v>0</v>
      </c>
      <c r="AU34">
        <v>23.97</v>
      </c>
      <c r="AV34">
        <v>10.63</v>
      </c>
      <c r="AW34">
        <v>0</v>
      </c>
      <c r="AX34">
        <v>-85.646588960000003</v>
      </c>
      <c r="AY34">
        <v>40.781075420000001</v>
      </c>
      <c r="AZ34">
        <f t="shared" si="0"/>
        <v>6</v>
      </c>
      <c r="BA34">
        <f t="shared" si="1"/>
        <v>6</v>
      </c>
      <c r="BB34">
        <f t="shared" si="2"/>
        <v>2024</v>
      </c>
      <c r="BD34" s="19">
        <v>45449</v>
      </c>
    </row>
    <row r="35" spans="1:56" x14ac:dyDescent="0.25">
      <c r="A35" s="25">
        <v>10300</v>
      </c>
      <c r="B35" t="s">
        <v>319</v>
      </c>
      <c r="C35" t="s">
        <v>319</v>
      </c>
      <c r="D35" s="27" t="s">
        <v>488</v>
      </c>
      <c r="E35" s="27">
        <v>4</v>
      </c>
      <c r="F35" s="56"/>
      <c r="G35">
        <v>4980</v>
      </c>
      <c r="H35" t="s">
        <v>19</v>
      </c>
      <c r="I35" t="s">
        <v>8</v>
      </c>
      <c r="J35">
        <v>-0.50080000000000002</v>
      </c>
      <c r="K35">
        <v>2.653</v>
      </c>
      <c r="L35">
        <v>1.0999999999999999E-2</v>
      </c>
      <c r="M35">
        <v>0.05</v>
      </c>
      <c r="N35" t="s">
        <v>509</v>
      </c>
      <c r="O35">
        <v>25.563333333333333</v>
      </c>
      <c r="P35">
        <v>35.669999999999995</v>
      </c>
      <c r="Q35">
        <v>3.6818941701671393</v>
      </c>
      <c r="R35">
        <v>1.8457922872883086</v>
      </c>
      <c r="S35">
        <v>202.619</v>
      </c>
      <c r="T35">
        <v>358.101</v>
      </c>
      <c r="U35">
        <v>501.19499999999999</v>
      </c>
      <c r="V35">
        <v>576.20699999999999</v>
      </c>
      <c r="W35">
        <v>577.33199999999999</v>
      </c>
      <c r="X35">
        <v>531.69100000000003</v>
      </c>
      <c r="Y35">
        <v>571.14499999999998</v>
      </c>
      <c r="Z35">
        <v>527.80499999999995</v>
      </c>
      <c r="AA35">
        <v>0.55200000000000005</v>
      </c>
      <c r="AB35">
        <v>732.7</v>
      </c>
      <c r="AC35">
        <v>368.7</v>
      </c>
      <c r="AD35">
        <v>372.5</v>
      </c>
      <c r="AE35">
        <v>242</v>
      </c>
      <c r="AF35">
        <v>0.18</v>
      </c>
      <c r="AG35">
        <v>372.9</v>
      </c>
      <c r="AH35">
        <v>0.56799999999999995</v>
      </c>
      <c r="AI35">
        <v>0.78300000000000003</v>
      </c>
      <c r="AJ35">
        <v>124.4</v>
      </c>
      <c r="AK35">
        <v>10.37</v>
      </c>
      <c r="AL35">
        <v>128.5</v>
      </c>
      <c r="AM35">
        <v>40.783969999999997</v>
      </c>
      <c r="AN35">
        <v>-85.637829999999994</v>
      </c>
      <c r="AO35">
        <v>229.6</v>
      </c>
      <c r="AP35">
        <v>73.8</v>
      </c>
      <c r="AQ35">
        <v>8.69</v>
      </c>
      <c r="AR35">
        <v>-113.8</v>
      </c>
      <c r="AS35">
        <v>12.1</v>
      </c>
      <c r="AT35">
        <v>0</v>
      </c>
      <c r="AU35">
        <v>24.471</v>
      </c>
      <c r="AV35">
        <v>11.13</v>
      </c>
      <c r="AW35">
        <v>0</v>
      </c>
      <c r="AX35">
        <v>-85.638733939999995</v>
      </c>
      <c r="AY35">
        <v>40.783930470000001</v>
      </c>
      <c r="AZ35">
        <f t="shared" si="0"/>
        <v>6</v>
      </c>
      <c r="BA35">
        <f t="shared" si="1"/>
        <v>6</v>
      </c>
      <c r="BB35">
        <f t="shared" si="2"/>
        <v>2024</v>
      </c>
      <c r="BD35" s="19">
        <v>45449</v>
      </c>
    </row>
    <row r="36" spans="1:56" x14ac:dyDescent="0.25">
      <c r="A36" s="25">
        <v>10301</v>
      </c>
      <c r="B36" t="s">
        <v>320</v>
      </c>
      <c r="C36" t="s">
        <v>320</v>
      </c>
      <c r="D36" s="27" t="s">
        <v>489</v>
      </c>
      <c r="E36" s="27">
        <v>5</v>
      </c>
      <c r="F36" s="56"/>
      <c r="G36">
        <v>6340</v>
      </c>
      <c r="H36" t="s">
        <v>19</v>
      </c>
      <c r="I36" t="s">
        <v>8</v>
      </c>
      <c r="J36">
        <v>-0.50209999999999999</v>
      </c>
      <c r="K36">
        <v>3.198</v>
      </c>
      <c r="L36">
        <v>2.5999999999999999E-2</v>
      </c>
      <c r="N36" t="s">
        <v>509</v>
      </c>
      <c r="O36">
        <v>18.093333333333334</v>
      </c>
      <c r="P36">
        <v>23.656666666666666</v>
      </c>
      <c r="Q36">
        <v>3.6647409373233346</v>
      </c>
      <c r="R36">
        <v>1.8508932870842687</v>
      </c>
      <c r="S36">
        <v>219.251</v>
      </c>
      <c r="T36">
        <v>373.02100000000002</v>
      </c>
      <c r="U36">
        <v>511.16199999999998</v>
      </c>
      <c r="V36">
        <v>613.50900000000001</v>
      </c>
      <c r="W36">
        <v>610.32600000000002</v>
      </c>
      <c r="X36">
        <v>557.39200000000005</v>
      </c>
      <c r="Y36">
        <v>633.096</v>
      </c>
      <c r="Z36">
        <v>577.08900000000006</v>
      </c>
      <c r="AA36">
        <v>0.55300000000000005</v>
      </c>
      <c r="AB36">
        <v>732.7</v>
      </c>
      <c r="AC36">
        <v>370.6</v>
      </c>
      <c r="AD36">
        <v>374.9</v>
      </c>
      <c r="AE36">
        <v>244</v>
      </c>
      <c r="AF36">
        <v>0.18</v>
      </c>
      <c r="AG36">
        <v>375.4</v>
      </c>
      <c r="AH36">
        <v>0.55700000000000005</v>
      </c>
      <c r="AI36">
        <v>0.78400000000000003</v>
      </c>
      <c r="AJ36">
        <v>116.7</v>
      </c>
      <c r="AK36">
        <v>9.74</v>
      </c>
      <c r="AL36">
        <v>120.5</v>
      </c>
      <c r="AM36">
        <v>40.77478</v>
      </c>
      <c r="AN36">
        <v>-85.62379</v>
      </c>
      <c r="AO36">
        <v>227</v>
      </c>
      <c r="AP36">
        <v>65.7</v>
      </c>
      <c r="AQ36">
        <v>8.64</v>
      </c>
      <c r="AR36">
        <v>-110.7</v>
      </c>
      <c r="AS36">
        <v>12.1</v>
      </c>
      <c r="AT36">
        <v>0</v>
      </c>
      <c r="AU36">
        <v>24.396999999999998</v>
      </c>
      <c r="AV36">
        <v>18.28</v>
      </c>
      <c r="AW36">
        <v>0</v>
      </c>
      <c r="AX36">
        <v>-85.624036320000002</v>
      </c>
      <c r="AY36">
        <v>40.774560219999998</v>
      </c>
      <c r="AZ36">
        <f t="shared" si="0"/>
        <v>6</v>
      </c>
      <c r="BA36">
        <f t="shared" si="1"/>
        <v>6</v>
      </c>
      <c r="BB36">
        <f t="shared" si="2"/>
        <v>2024</v>
      </c>
      <c r="BD36" s="19">
        <v>45449</v>
      </c>
    </row>
    <row r="37" spans="1:56" x14ac:dyDescent="0.25">
      <c r="A37" s="25">
        <v>10302</v>
      </c>
      <c r="B37" t="s">
        <v>321</v>
      </c>
      <c r="C37" t="s">
        <v>321</v>
      </c>
      <c r="D37" s="27" t="s">
        <v>490</v>
      </c>
      <c r="E37" s="27">
        <v>6</v>
      </c>
      <c r="F37" s="56"/>
      <c r="G37">
        <v>7900</v>
      </c>
      <c r="H37" t="s">
        <v>19</v>
      </c>
      <c r="I37" t="s">
        <v>8</v>
      </c>
      <c r="J37">
        <v>-0.50729999999999997</v>
      </c>
      <c r="K37">
        <v>2.9169999999999998</v>
      </c>
      <c r="L37">
        <v>2E-3</v>
      </c>
      <c r="N37" t="s">
        <v>509</v>
      </c>
      <c r="O37">
        <v>24.13</v>
      </c>
      <c r="P37">
        <v>33.020000000000003</v>
      </c>
      <c r="Q37">
        <v>3.9106039414178637</v>
      </c>
      <c r="R37">
        <v>1.8949659253213631</v>
      </c>
      <c r="S37">
        <v>126.583</v>
      </c>
      <c r="T37">
        <v>267.96499999999997</v>
      </c>
      <c r="U37">
        <v>394.13499999999999</v>
      </c>
      <c r="V37">
        <v>458.09100000000001</v>
      </c>
      <c r="W37">
        <v>428.84</v>
      </c>
      <c r="X37">
        <v>417.46100000000001</v>
      </c>
      <c r="Y37">
        <v>437.971</v>
      </c>
      <c r="Z37">
        <v>447.70100000000002</v>
      </c>
      <c r="AA37">
        <v>0.66900000000000004</v>
      </c>
      <c r="AB37">
        <v>732.4</v>
      </c>
      <c r="AC37">
        <v>398.3</v>
      </c>
      <c r="AD37">
        <v>405.3</v>
      </c>
      <c r="AE37">
        <v>263</v>
      </c>
      <c r="AF37">
        <v>0.19</v>
      </c>
      <c r="AG37">
        <v>406</v>
      </c>
      <c r="AH37">
        <v>0.70199999999999996</v>
      </c>
      <c r="AI37">
        <v>0.94899999999999995</v>
      </c>
      <c r="AJ37">
        <v>114.5</v>
      </c>
      <c r="AK37">
        <v>9.61</v>
      </c>
      <c r="AL37">
        <v>118.3</v>
      </c>
      <c r="AM37">
        <v>40.774940000000001</v>
      </c>
      <c r="AN37">
        <v>-85.60324</v>
      </c>
      <c r="AO37">
        <v>226.1</v>
      </c>
      <c r="AP37">
        <v>105.1</v>
      </c>
      <c r="AQ37">
        <v>8.64</v>
      </c>
      <c r="AR37">
        <v>-110.6</v>
      </c>
      <c r="AS37">
        <v>12.1</v>
      </c>
      <c r="AT37">
        <v>0</v>
      </c>
      <c r="AU37">
        <v>24.096</v>
      </c>
      <c r="AV37">
        <v>8.57</v>
      </c>
      <c r="AW37">
        <v>0</v>
      </c>
      <c r="AX37">
        <v>-85.606134130000001</v>
      </c>
      <c r="AY37">
        <v>40.77494488</v>
      </c>
      <c r="AZ37">
        <f t="shared" si="0"/>
        <v>6</v>
      </c>
      <c r="BA37">
        <f t="shared" si="1"/>
        <v>6</v>
      </c>
      <c r="BB37">
        <f t="shared" si="2"/>
        <v>2024</v>
      </c>
      <c r="BD37" s="19">
        <v>45449</v>
      </c>
    </row>
    <row r="38" spans="1:56" x14ac:dyDescent="0.25">
      <c r="A38" s="25">
        <v>10303</v>
      </c>
      <c r="B38" t="s">
        <v>322</v>
      </c>
      <c r="C38" t="s">
        <v>322</v>
      </c>
      <c r="D38" s="27" t="s">
        <v>491</v>
      </c>
      <c r="E38" s="27">
        <v>7</v>
      </c>
      <c r="F38" s="56"/>
      <c r="G38">
        <v>10610</v>
      </c>
      <c r="H38" t="s">
        <v>19</v>
      </c>
      <c r="I38" t="s">
        <v>8</v>
      </c>
      <c r="J38">
        <v>-0.50039999999999996</v>
      </c>
      <c r="K38">
        <v>2.694</v>
      </c>
      <c r="L38">
        <v>-2E-3</v>
      </c>
      <c r="M38">
        <v>0.05</v>
      </c>
      <c r="N38" t="s">
        <v>509</v>
      </c>
      <c r="O38">
        <v>50.433333333333337</v>
      </c>
      <c r="P38">
        <v>56.089999999999996</v>
      </c>
      <c r="Q38">
        <v>3.9501083564520796</v>
      </c>
      <c r="R38">
        <v>1.255300550907978</v>
      </c>
      <c r="S38">
        <v>158.22399999999999</v>
      </c>
      <c r="T38">
        <v>287.31</v>
      </c>
      <c r="U38">
        <v>404.43700000000001</v>
      </c>
      <c r="V38">
        <v>429.09800000000001</v>
      </c>
      <c r="W38">
        <v>394.36599999999999</v>
      </c>
      <c r="X38">
        <v>415.15199999999999</v>
      </c>
      <c r="Y38">
        <v>459.22199999999998</v>
      </c>
      <c r="Z38">
        <v>486.03399999999999</v>
      </c>
      <c r="AZ38">
        <f t="shared" si="0"/>
        <v>6</v>
      </c>
      <c r="BA38">
        <f t="shared" si="1"/>
        <v>6</v>
      </c>
      <c r="BB38">
        <f t="shared" si="2"/>
        <v>2024</v>
      </c>
      <c r="BD38" s="19">
        <v>45449</v>
      </c>
    </row>
    <row r="39" spans="1:56" x14ac:dyDescent="0.25">
      <c r="A39" s="25">
        <v>10304</v>
      </c>
      <c r="B39" t="s">
        <v>323</v>
      </c>
      <c r="C39" t="s">
        <v>323</v>
      </c>
      <c r="D39" s="27" t="s">
        <v>492</v>
      </c>
      <c r="E39" s="27">
        <v>8</v>
      </c>
      <c r="F39" s="56"/>
      <c r="G39">
        <v>9370</v>
      </c>
      <c r="H39" t="s">
        <v>19</v>
      </c>
      <c r="I39" t="s">
        <v>8</v>
      </c>
      <c r="J39">
        <v>-0.50519999999999998</v>
      </c>
      <c r="K39">
        <v>2.895</v>
      </c>
      <c r="L39">
        <v>1E-3</v>
      </c>
      <c r="N39" t="s">
        <v>509</v>
      </c>
      <c r="O39">
        <v>33.97</v>
      </c>
      <c r="P39">
        <v>38.229999999999997</v>
      </c>
      <c r="Q39">
        <v>3.9303561489349712</v>
      </c>
      <c r="R39">
        <v>1.312159695300279</v>
      </c>
      <c r="S39">
        <v>99.302700000000002</v>
      </c>
      <c r="T39">
        <v>219.98699999999999</v>
      </c>
      <c r="U39">
        <v>325.00799999999998</v>
      </c>
      <c r="V39">
        <v>370.90199999999999</v>
      </c>
      <c r="W39">
        <v>344.541</v>
      </c>
      <c r="X39">
        <v>346.40899999999999</v>
      </c>
      <c r="Y39">
        <v>371.05700000000002</v>
      </c>
      <c r="Z39">
        <v>408.209</v>
      </c>
      <c r="AA39">
        <v>0.68600000000000005</v>
      </c>
      <c r="AB39">
        <v>732.4</v>
      </c>
      <c r="AC39">
        <v>404.2</v>
      </c>
      <c r="AD39">
        <v>411.1</v>
      </c>
      <c r="AE39">
        <v>267</v>
      </c>
      <c r="AF39">
        <v>0.2</v>
      </c>
      <c r="AG39">
        <v>411.7</v>
      </c>
      <c r="AH39">
        <v>0.68899999999999995</v>
      </c>
      <c r="AI39">
        <v>0.97299999999999998</v>
      </c>
      <c r="AJ39">
        <v>130.80000000000001</v>
      </c>
      <c r="AK39">
        <v>10.97</v>
      </c>
      <c r="AL39">
        <v>135.1</v>
      </c>
      <c r="AM39">
        <v>40.766930000000002</v>
      </c>
      <c r="AN39">
        <v>-85.596580000000003</v>
      </c>
      <c r="AO39">
        <v>237.9</v>
      </c>
      <c r="AP39">
        <v>74</v>
      </c>
      <c r="AQ39">
        <v>8.75</v>
      </c>
      <c r="AR39">
        <v>-117.3</v>
      </c>
      <c r="AS39">
        <v>12.1</v>
      </c>
      <c r="AT39">
        <v>0</v>
      </c>
      <c r="AU39">
        <v>24.132999999999999</v>
      </c>
      <c r="AV39">
        <v>7.06</v>
      </c>
      <c r="AW39">
        <v>0</v>
      </c>
      <c r="AX39">
        <v>-85.596868459999996</v>
      </c>
      <c r="AY39">
        <v>40.766858499999998</v>
      </c>
      <c r="AZ39">
        <f t="shared" si="0"/>
        <v>6</v>
      </c>
      <c r="BA39">
        <f t="shared" si="1"/>
        <v>6</v>
      </c>
      <c r="BB39">
        <f t="shared" si="2"/>
        <v>2024</v>
      </c>
      <c r="BD39" s="19">
        <v>45449</v>
      </c>
    </row>
    <row r="40" spans="1:56" x14ac:dyDescent="0.25">
      <c r="A40" s="25">
        <v>10305</v>
      </c>
      <c r="B40" t="s">
        <v>324</v>
      </c>
      <c r="C40" t="s">
        <v>324</v>
      </c>
      <c r="D40" s="27" t="s">
        <v>493</v>
      </c>
      <c r="E40" s="27">
        <v>9</v>
      </c>
      <c r="F40" s="56"/>
      <c r="G40">
        <v>10331</v>
      </c>
      <c r="H40" t="s">
        <v>19</v>
      </c>
      <c r="I40" t="s">
        <v>8</v>
      </c>
      <c r="J40">
        <v>-0.50319999999999998</v>
      </c>
      <c r="K40">
        <v>2.073</v>
      </c>
      <c r="L40">
        <v>-3.0000000000000001E-3</v>
      </c>
      <c r="M40">
        <v>0.05</v>
      </c>
      <c r="N40" t="s">
        <v>509</v>
      </c>
      <c r="O40">
        <v>41.14</v>
      </c>
      <c r="P40">
        <v>39.876666666666665</v>
      </c>
      <c r="Q40">
        <v>3.2639790426999067</v>
      </c>
      <c r="R40">
        <v>0.94543181663606057</v>
      </c>
      <c r="AA40">
        <v>0.73599999999999999</v>
      </c>
      <c r="AB40">
        <v>732.3</v>
      </c>
      <c r="AC40">
        <v>411.5</v>
      </c>
      <c r="AD40">
        <v>413.5</v>
      </c>
      <c r="AE40">
        <v>269</v>
      </c>
      <c r="AF40">
        <v>0.2</v>
      </c>
      <c r="AG40">
        <v>413.7</v>
      </c>
      <c r="AH40">
        <v>0.74</v>
      </c>
      <c r="AI40">
        <v>1.044</v>
      </c>
      <c r="AJ40">
        <v>153.1</v>
      </c>
      <c r="AK40">
        <v>12.7</v>
      </c>
      <c r="AL40">
        <v>158.19999999999999</v>
      </c>
      <c r="AM40">
        <v>40.75712</v>
      </c>
      <c r="AN40">
        <v>-85.594480000000004</v>
      </c>
      <c r="AO40">
        <v>225.4</v>
      </c>
      <c r="AP40">
        <v>84</v>
      </c>
      <c r="AQ40">
        <v>8.8800000000000008</v>
      </c>
      <c r="AR40">
        <v>-125</v>
      </c>
      <c r="AS40">
        <v>12.1</v>
      </c>
      <c r="AT40">
        <v>0</v>
      </c>
      <c r="AU40">
        <v>24.744</v>
      </c>
      <c r="AV40">
        <v>6.64</v>
      </c>
      <c r="AW40">
        <v>0</v>
      </c>
      <c r="AX40">
        <v>-85.594853409999999</v>
      </c>
      <c r="AY40">
        <v>40.757165809999996</v>
      </c>
      <c r="AZ40">
        <f t="shared" si="0"/>
        <v>6</v>
      </c>
      <c r="BA40">
        <f t="shared" si="1"/>
        <v>6</v>
      </c>
      <c r="BB40">
        <f t="shared" si="2"/>
        <v>2024</v>
      </c>
      <c r="BD40" s="19">
        <v>45449</v>
      </c>
    </row>
    <row r="41" spans="1:56" x14ac:dyDescent="0.25">
      <c r="A41" s="25">
        <v>10306</v>
      </c>
      <c r="B41" t="s">
        <v>325</v>
      </c>
      <c r="C41" t="s">
        <v>325</v>
      </c>
      <c r="D41" s="27" t="s">
        <v>494</v>
      </c>
      <c r="E41" s="27">
        <v>10</v>
      </c>
      <c r="F41" s="56"/>
      <c r="G41">
        <v>11270</v>
      </c>
      <c r="H41" t="s">
        <v>19</v>
      </c>
      <c r="I41" t="s">
        <v>8</v>
      </c>
      <c r="J41">
        <v>-0.50149999999999995</v>
      </c>
      <c r="K41">
        <v>2.028</v>
      </c>
      <c r="L41">
        <v>-1E-3</v>
      </c>
      <c r="M41">
        <v>0.05</v>
      </c>
      <c r="N41" t="s">
        <v>509</v>
      </c>
      <c r="O41">
        <v>43.466666666666669</v>
      </c>
      <c r="P41">
        <v>38.276666666666664</v>
      </c>
      <c r="Q41">
        <v>3.2618998629612639</v>
      </c>
      <c r="R41">
        <v>1.4169002244439912</v>
      </c>
      <c r="S41">
        <v>173.09</v>
      </c>
      <c r="T41">
        <v>366.11700000000002</v>
      </c>
      <c r="U41">
        <v>466.53899999999999</v>
      </c>
      <c r="V41">
        <v>521.14599999999996</v>
      </c>
      <c r="W41">
        <v>483.63499999999999</v>
      </c>
      <c r="X41">
        <v>504.92599999999999</v>
      </c>
      <c r="Y41">
        <v>526.88499999999999</v>
      </c>
      <c r="Z41">
        <v>571.72</v>
      </c>
      <c r="AA41">
        <v>0.52400000000000002</v>
      </c>
      <c r="AB41">
        <v>732.3</v>
      </c>
      <c r="AC41">
        <v>417.7</v>
      </c>
      <c r="AD41">
        <v>426.6</v>
      </c>
      <c r="AE41">
        <v>277</v>
      </c>
      <c r="AF41">
        <v>0.2</v>
      </c>
      <c r="AG41">
        <v>427.5</v>
      </c>
      <c r="AH41">
        <v>0.56599999999999995</v>
      </c>
      <c r="AI41">
        <v>0.74399999999999999</v>
      </c>
      <c r="AJ41">
        <v>137.1</v>
      </c>
      <c r="AK41">
        <v>11.55</v>
      </c>
      <c r="AL41">
        <v>141.69999999999999</v>
      </c>
      <c r="AM41">
        <v>40.755659999999999</v>
      </c>
      <c r="AN41">
        <v>-85.580799999999996</v>
      </c>
      <c r="AO41">
        <v>226.5</v>
      </c>
      <c r="AP41">
        <v>74.400000000000006</v>
      </c>
      <c r="AQ41">
        <v>8.77</v>
      </c>
      <c r="AR41">
        <v>-118.5</v>
      </c>
      <c r="AS41">
        <v>12.1</v>
      </c>
      <c r="AT41">
        <v>0</v>
      </c>
      <c r="AU41">
        <v>23.908000000000001</v>
      </c>
      <c r="AV41">
        <v>8.9600000000000009</v>
      </c>
      <c r="AW41">
        <v>0</v>
      </c>
      <c r="AX41">
        <v>-85.582874129999993</v>
      </c>
      <c r="AY41">
        <v>40.755891669999997</v>
      </c>
      <c r="AZ41">
        <f t="shared" si="0"/>
        <v>6</v>
      </c>
      <c r="BA41">
        <f t="shared" si="1"/>
        <v>6</v>
      </c>
      <c r="BB41">
        <f t="shared" si="2"/>
        <v>2024</v>
      </c>
      <c r="BD41" s="19">
        <v>45449</v>
      </c>
    </row>
    <row r="42" spans="1:56" x14ac:dyDescent="0.25">
      <c r="A42" s="25">
        <v>10307</v>
      </c>
      <c r="B42" t="s">
        <v>326</v>
      </c>
      <c r="C42" t="s">
        <v>326</v>
      </c>
      <c r="D42" s="27" t="s">
        <v>495</v>
      </c>
      <c r="E42" s="27">
        <v>13</v>
      </c>
      <c r="F42" s="56"/>
      <c r="G42">
        <v>5180</v>
      </c>
      <c r="H42" t="s">
        <v>19</v>
      </c>
      <c r="I42" t="s">
        <v>8</v>
      </c>
      <c r="J42">
        <v>-0.50119999999999998</v>
      </c>
      <c r="K42">
        <v>3.3119999999999998</v>
      </c>
      <c r="L42">
        <v>3.7999999999999999E-2</v>
      </c>
      <c r="N42" t="s">
        <v>509</v>
      </c>
      <c r="O42">
        <v>23.453333333333333</v>
      </c>
      <c r="P42">
        <v>6.87</v>
      </c>
      <c r="Q42">
        <v>3.8944902984433805</v>
      </c>
      <c r="R42">
        <v>1.4023453716928518</v>
      </c>
      <c r="S42">
        <v>247.876</v>
      </c>
      <c r="T42">
        <v>417.80700000000002</v>
      </c>
      <c r="U42">
        <v>566.08600000000001</v>
      </c>
      <c r="V42">
        <v>646.37099999999998</v>
      </c>
      <c r="W42">
        <v>662.11</v>
      </c>
      <c r="X42">
        <v>618.92999999999995</v>
      </c>
      <c r="Y42">
        <v>618.24599999999998</v>
      </c>
      <c r="Z42">
        <v>536.77800000000002</v>
      </c>
      <c r="AA42">
        <v>0.745</v>
      </c>
      <c r="AB42">
        <v>732.7</v>
      </c>
      <c r="AC42">
        <v>364.8</v>
      </c>
      <c r="AD42">
        <v>371.8</v>
      </c>
      <c r="AE42">
        <v>242</v>
      </c>
      <c r="AF42">
        <v>0.18</v>
      </c>
      <c r="AG42">
        <v>372.5</v>
      </c>
      <c r="AH42">
        <v>0.75900000000000001</v>
      </c>
      <c r="AI42">
        <v>1.0569999999999999</v>
      </c>
      <c r="AJ42">
        <v>106.5</v>
      </c>
      <c r="AK42">
        <v>8.9600000000000009</v>
      </c>
      <c r="AL42">
        <v>110.1</v>
      </c>
      <c r="AM42">
        <v>40.779670000000003</v>
      </c>
      <c r="AN42">
        <v>-85.632829999999998</v>
      </c>
      <c r="AO42">
        <v>229.5</v>
      </c>
      <c r="AP42">
        <v>95.3</v>
      </c>
      <c r="AQ42">
        <v>8.51</v>
      </c>
      <c r="AR42">
        <v>-103</v>
      </c>
      <c r="AS42">
        <v>12.1</v>
      </c>
      <c r="AT42">
        <v>0</v>
      </c>
      <c r="AU42">
        <v>24.015999999999998</v>
      </c>
      <c r="AV42">
        <v>13.17</v>
      </c>
      <c r="AW42">
        <v>0</v>
      </c>
      <c r="AX42">
        <v>-85.637500149999994</v>
      </c>
      <c r="AY42">
        <v>40.781062970000001</v>
      </c>
      <c r="AZ42">
        <f t="shared" si="0"/>
        <v>6</v>
      </c>
      <c r="BA42">
        <f t="shared" si="1"/>
        <v>6</v>
      </c>
      <c r="BB42">
        <f t="shared" si="2"/>
        <v>2024</v>
      </c>
      <c r="BD42" s="19">
        <v>45449</v>
      </c>
    </row>
    <row r="43" spans="1:56" x14ac:dyDescent="0.25">
      <c r="A43" s="25">
        <v>10308</v>
      </c>
      <c r="B43" t="s">
        <v>327</v>
      </c>
      <c r="C43" t="s">
        <v>327</v>
      </c>
      <c r="D43" s="27" t="s">
        <v>496</v>
      </c>
      <c r="E43" s="27">
        <v>14</v>
      </c>
      <c r="F43" s="57"/>
      <c r="G43">
        <v>1040</v>
      </c>
      <c r="H43" t="s">
        <v>19</v>
      </c>
      <c r="I43" t="s">
        <v>8</v>
      </c>
      <c r="J43">
        <v>-0.50649999999999995</v>
      </c>
      <c r="K43">
        <v>2.6930000000000001</v>
      </c>
      <c r="L43">
        <v>5.0999999999999997E-2</v>
      </c>
      <c r="M43">
        <v>0.05</v>
      </c>
      <c r="N43" t="s">
        <v>509</v>
      </c>
      <c r="O43">
        <v>8.4266666666666676</v>
      </c>
      <c r="P43">
        <v>11.796666666666667</v>
      </c>
      <c r="Q43">
        <v>3.5587027706525447</v>
      </c>
      <c r="R43">
        <v>1.8449761273209551</v>
      </c>
      <c r="S43">
        <v>305.01799999999997</v>
      </c>
      <c r="T43">
        <v>476.42899999999997</v>
      </c>
      <c r="U43">
        <v>628.38199999999995</v>
      </c>
      <c r="V43">
        <v>719.01099999999997</v>
      </c>
      <c r="W43">
        <v>720.73800000000006</v>
      </c>
      <c r="X43">
        <v>702.351</v>
      </c>
      <c r="Y43">
        <v>666.303</v>
      </c>
      <c r="Z43">
        <v>559.69500000000005</v>
      </c>
      <c r="AA43">
        <v>0.57399999999999995</v>
      </c>
      <c r="AB43">
        <v>732.2</v>
      </c>
      <c r="AC43">
        <v>357.7</v>
      </c>
      <c r="AD43">
        <v>366.9</v>
      </c>
      <c r="AE43">
        <v>238</v>
      </c>
      <c r="AF43">
        <v>0.17</v>
      </c>
      <c r="AG43">
        <v>367.8</v>
      </c>
      <c r="AH43">
        <v>0.61699999999999999</v>
      </c>
      <c r="AI43">
        <v>0.81399999999999995</v>
      </c>
      <c r="AJ43">
        <v>87.3</v>
      </c>
      <c r="AK43">
        <v>7.38</v>
      </c>
      <c r="AL43">
        <v>90.2</v>
      </c>
      <c r="AM43">
        <v>40.79983</v>
      </c>
      <c r="AN43">
        <v>-85.6661</v>
      </c>
      <c r="AO43">
        <v>228.8</v>
      </c>
      <c r="AP43">
        <v>139.5</v>
      </c>
      <c r="AQ43">
        <v>8.1999999999999993</v>
      </c>
      <c r="AR43">
        <v>-84.6</v>
      </c>
      <c r="AS43">
        <v>12.1</v>
      </c>
      <c r="AT43">
        <v>0</v>
      </c>
      <c r="AU43">
        <v>23.687000000000001</v>
      </c>
      <c r="AV43">
        <v>13.96</v>
      </c>
      <c r="AW43">
        <v>0</v>
      </c>
      <c r="AX43">
        <v>-85.667890909999997</v>
      </c>
      <c r="AY43">
        <v>40.8002343</v>
      </c>
      <c r="AZ43">
        <f t="shared" si="0"/>
        <v>6</v>
      </c>
      <c r="BA43">
        <f t="shared" si="1"/>
        <v>6</v>
      </c>
      <c r="BB43">
        <f t="shared" si="2"/>
        <v>2024</v>
      </c>
      <c r="BD43" s="19">
        <v>45449</v>
      </c>
    </row>
    <row r="44" spans="1:56" x14ac:dyDescent="0.25">
      <c r="A44" s="25">
        <v>10309</v>
      </c>
      <c r="B44" s="67" t="s">
        <v>328</v>
      </c>
      <c r="C44" s="67" t="s">
        <v>328</v>
      </c>
      <c r="D44" s="68" t="s">
        <v>456</v>
      </c>
      <c r="E44" s="68">
        <v>1</v>
      </c>
      <c r="F44" s="114"/>
      <c r="G44">
        <v>5999</v>
      </c>
      <c r="H44" s="67" t="s">
        <v>17</v>
      </c>
      <c r="I44" s="67" t="s">
        <v>8</v>
      </c>
      <c r="J44" s="115">
        <v>1.9333333333333331E-3</v>
      </c>
      <c r="K44" s="67">
        <v>2.4306666666666668</v>
      </c>
      <c r="L44" s="67">
        <v>6.5333333333333327E-2</v>
      </c>
      <c r="N44" t="s">
        <v>509</v>
      </c>
      <c r="O44">
        <v>64.905000000000001</v>
      </c>
      <c r="P44">
        <v>39.33</v>
      </c>
      <c r="Q44">
        <v>2.9817303931791264</v>
      </c>
      <c r="R44">
        <v>0.96216309596680949</v>
      </c>
      <c r="S44">
        <v>200.77699999999999</v>
      </c>
      <c r="T44">
        <v>285.57100000000003</v>
      </c>
      <c r="U44">
        <v>411.85500000000002</v>
      </c>
      <c r="V44">
        <v>471.57</v>
      </c>
      <c r="W44">
        <v>394.774</v>
      </c>
      <c r="X44">
        <v>354.14100000000002</v>
      </c>
      <c r="Y44">
        <v>431.59500000000003</v>
      </c>
      <c r="Z44">
        <v>431.02199999999999</v>
      </c>
      <c r="AA44">
        <v>0.66700000000000004</v>
      </c>
      <c r="AB44">
        <v>740.9</v>
      </c>
      <c r="AC44">
        <v>444.2</v>
      </c>
      <c r="AD44">
        <v>451.9</v>
      </c>
      <c r="AE44">
        <v>294</v>
      </c>
      <c r="AF44">
        <v>0.22</v>
      </c>
      <c r="AG44">
        <v>452.7</v>
      </c>
      <c r="AH44">
        <v>0.67900000000000005</v>
      </c>
      <c r="AI44">
        <v>0.94599999999999995</v>
      </c>
      <c r="AJ44">
        <v>169.5</v>
      </c>
      <c r="AK44">
        <v>14.22</v>
      </c>
      <c r="AL44">
        <v>173.1</v>
      </c>
      <c r="AM44">
        <v>40.681780000000003</v>
      </c>
      <c r="AN44">
        <v>-85.888949999999994</v>
      </c>
      <c r="AO44">
        <v>233</v>
      </c>
      <c r="AP44">
        <v>92.5</v>
      </c>
      <c r="AQ44">
        <v>8.52</v>
      </c>
      <c r="AR44">
        <v>-124.6</v>
      </c>
      <c r="AS44">
        <v>12.1</v>
      </c>
      <c r="AT44">
        <v>0</v>
      </c>
      <c r="AU44">
        <v>24.106000000000002</v>
      </c>
      <c r="AV44">
        <v>11.08</v>
      </c>
      <c r="AW44">
        <v>0</v>
      </c>
      <c r="AX44">
        <v>-85.889103570000003</v>
      </c>
      <c r="AY44">
        <v>40.681706509999998</v>
      </c>
      <c r="AZ44">
        <f t="shared" si="0"/>
        <v>6</v>
      </c>
      <c r="BA44">
        <f t="shared" si="1"/>
        <v>12</v>
      </c>
      <c r="BB44">
        <f t="shared" si="2"/>
        <v>2024</v>
      </c>
      <c r="BD44" s="19">
        <v>45455</v>
      </c>
    </row>
    <row r="45" spans="1:56" x14ac:dyDescent="0.25">
      <c r="A45" s="25">
        <v>10310</v>
      </c>
      <c r="B45" s="67" t="s">
        <v>329</v>
      </c>
      <c r="C45" s="67" t="s">
        <v>329</v>
      </c>
      <c r="D45" s="68" t="s">
        <v>457</v>
      </c>
      <c r="E45" s="68">
        <v>2</v>
      </c>
      <c r="F45" s="114"/>
      <c r="G45">
        <v>8861</v>
      </c>
      <c r="H45" s="67" t="s">
        <v>17</v>
      </c>
      <c r="I45" s="67" t="s">
        <v>8</v>
      </c>
      <c r="J45" s="115">
        <v>7.5999999999999998E-2</v>
      </c>
      <c r="K45" s="67">
        <v>2.4873333333333334</v>
      </c>
      <c r="L45" s="67">
        <v>6.5666666666666665E-2</v>
      </c>
      <c r="N45" t="s">
        <v>509</v>
      </c>
      <c r="O45">
        <v>39.716666666666661</v>
      </c>
      <c r="P45">
        <v>22.236666666666668</v>
      </c>
      <c r="Q45">
        <v>3.0924467142618632</v>
      </c>
      <c r="R45">
        <v>1.4740314221587432</v>
      </c>
      <c r="S45">
        <v>206.31299999999999</v>
      </c>
      <c r="T45">
        <v>283.89499999999998</v>
      </c>
      <c r="U45">
        <v>416.50799999999998</v>
      </c>
      <c r="V45">
        <v>469.23899999999998</v>
      </c>
      <c r="W45">
        <v>400.46699999999998</v>
      </c>
      <c r="X45">
        <v>360.86500000000001</v>
      </c>
      <c r="Y45">
        <v>430.38200000000001</v>
      </c>
      <c r="Z45">
        <v>396.95100000000002</v>
      </c>
      <c r="AA45">
        <v>0.63400000000000001</v>
      </c>
      <c r="AB45">
        <v>740.8</v>
      </c>
      <c r="AC45">
        <v>468.2</v>
      </c>
      <c r="AD45">
        <v>478.9</v>
      </c>
      <c r="AE45">
        <v>311</v>
      </c>
      <c r="AF45">
        <v>0.23</v>
      </c>
      <c r="AG45">
        <v>480</v>
      </c>
      <c r="AH45">
        <v>0.63200000000000001</v>
      </c>
      <c r="AI45">
        <v>0.9</v>
      </c>
      <c r="AJ45">
        <v>143.69999999999999</v>
      </c>
      <c r="AK45">
        <v>12.12</v>
      </c>
      <c r="AL45">
        <v>146.80000000000001</v>
      </c>
      <c r="AM45">
        <v>40.678019999999997</v>
      </c>
      <c r="AN45">
        <v>-85.875950000000003</v>
      </c>
      <c r="AO45">
        <v>225.9</v>
      </c>
      <c r="AP45">
        <v>76.5</v>
      </c>
      <c r="AQ45">
        <v>8.2899999999999991</v>
      </c>
      <c r="AR45">
        <v>-110.6</v>
      </c>
      <c r="AS45">
        <v>12.1</v>
      </c>
      <c r="AT45">
        <v>0</v>
      </c>
      <c r="AU45">
        <v>23.835000000000001</v>
      </c>
      <c r="AV45">
        <v>9.23</v>
      </c>
      <c r="AW45">
        <v>0</v>
      </c>
      <c r="AX45">
        <v>-85.876863529999994</v>
      </c>
      <c r="AY45">
        <v>40.676915960000002</v>
      </c>
      <c r="AZ45">
        <f t="shared" si="0"/>
        <v>6</v>
      </c>
      <c r="BA45">
        <f t="shared" si="1"/>
        <v>12</v>
      </c>
      <c r="BB45">
        <f t="shared" si="2"/>
        <v>2024</v>
      </c>
      <c r="BD45" s="19">
        <v>45455</v>
      </c>
    </row>
    <row r="46" spans="1:56" x14ac:dyDescent="0.25">
      <c r="A46" s="25">
        <v>10311</v>
      </c>
      <c r="B46" s="67" t="s">
        <v>330</v>
      </c>
      <c r="C46" s="67" t="s">
        <v>330</v>
      </c>
      <c r="D46" s="68" t="s">
        <v>458</v>
      </c>
      <c r="E46" s="68">
        <v>3</v>
      </c>
      <c r="F46" s="114"/>
      <c r="G46">
        <v>9921</v>
      </c>
      <c r="H46" s="67" t="s">
        <v>17</v>
      </c>
      <c r="I46" s="67" t="s">
        <v>8</v>
      </c>
      <c r="J46" s="115">
        <v>6.6666666666666671E-3</v>
      </c>
      <c r="K46" s="67">
        <v>2.4363333333333332</v>
      </c>
      <c r="L46" s="67">
        <v>4.4000000000000004E-2</v>
      </c>
      <c r="N46" t="s">
        <v>509</v>
      </c>
      <c r="O46">
        <v>87.555000000000007</v>
      </c>
      <c r="P46">
        <v>58.534999999999997</v>
      </c>
      <c r="Q46">
        <v>2.9843293678524301</v>
      </c>
      <c r="R46">
        <v>1.39792450520302</v>
      </c>
      <c r="S46">
        <v>219.26599999999999</v>
      </c>
      <c r="T46">
        <v>300.67200000000003</v>
      </c>
      <c r="U46">
        <v>431.80700000000002</v>
      </c>
      <c r="V46">
        <v>469.65100000000001</v>
      </c>
      <c r="W46">
        <v>420.69499999999999</v>
      </c>
      <c r="X46">
        <v>373.14400000000001</v>
      </c>
      <c r="Y46">
        <v>500.63499999999999</v>
      </c>
      <c r="Z46">
        <v>401.79500000000002</v>
      </c>
      <c r="AA46">
        <v>0.72499999999999998</v>
      </c>
      <c r="AB46">
        <v>740.8</v>
      </c>
      <c r="AC46">
        <v>466.8</v>
      </c>
      <c r="AD46">
        <v>478.2</v>
      </c>
      <c r="AE46">
        <v>311</v>
      </c>
      <c r="AF46">
        <v>0.23</v>
      </c>
      <c r="AG46">
        <v>479.4</v>
      </c>
      <c r="AH46">
        <v>0.67900000000000005</v>
      </c>
      <c r="AI46">
        <v>1.028</v>
      </c>
      <c r="AJ46">
        <v>187.5</v>
      </c>
      <c r="AK46">
        <v>15.84</v>
      </c>
      <c r="AL46">
        <v>191.4</v>
      </c>
      <c r="AM46">
        <v>40.670969999999997</v>
      </c>
      <c r="AN46">
        <v>-85.870429999999999</v>
      </c>
      <c r="AO46">
        <v>227.1</v>
      </c>
      <c r="AP46">
        <v>90.8</v>
      </c>
      <c r="AQ46">
        <v>8.39</v>
      </c>
      <c r="AR46">
        <v>-116.4</v>
      </c>
      <c r="AS46">
        <v>12.1</v>
      </c>
      <c r="AT46">
        <v>0</v>
      </c>
      <c r="AU46">
        <v>23.741</v>
      </c>
      <c r="AV46">
        <v>12.67</v>
      </c>
      <c r="AW46">
        <v>0</v>
      </c>
      <c r="AX46">
        <v>-85.870393300000003</v>
      </c>
      <c r="AY46">
        <v>40.6708827</v>
      </c>
      <c r="AZ46">
        <f t="shared" si="0"/>
        <v>6</v>
      </c>
      <c r="BA46">
        <f t="shared" si="1"/>
        <v>12</v>
      </c>
      <c r="BB46">
        <f t="shared" si="2"/>
        <v>2024</v>
      </c>
      <c r="BD46" s="19">
        <v>45455</v>
      </c>
    </row>
    <row r="47" spans="1:56" x14ac:dyDescent="0.25">
      <c r="A47" s="25">
        <v>10312</v>
      </c>
      <c r="B47" s="67" t="s">
        <v>331</v>
      </c>
      <c r="C47" s="67" t="s">
        <v>331</v>
      </c>
      <c r="D47" s="68" t="s">
        <v>459</v>
      </c>
      <c r="E47" s="68">
        <v>4</v>
      </c>
      <c r="F47" s="114"/>
      <c r="G47">
        <v>10891</v>
      </c>
      <c r="H47" s="67" t="s">
        <v>17</v>
      </c>
      <c r="I47" s="67" t="s">
        <v>8</v>
      </c>
      <c r="J47" s="115">
        <v>2.2166666666666668E-2</v>
      </c>
      <c r="K47" s="67">
        <v>3.0116666666666667</v>
      </c>
      <c r="L47" s="67">
        <v>2.3333333333333331E-2</v>
      </c>
      <c r="N47" t="s">
        <v>509</v>
      </c>
      <c r="O47">
        <v>42.006666666666668</v>
      </c>
      <c r="P47">
        <v>11.333333333333334</v>
      </c>
      <c r="Q47">
        <v>2.7015609233969888</v>
      </c>
      <c r="R47">
        <v>1.7623399306264029</v>
      </c>
      <c r="S47">
        <v>177.934</v>
      </c>
      <c r="T47">
        <v>240.86500000000001</v>
      </c>
      <c r="U47">
        <v>361.12099999999998</v>
      </c>
      <c r="V47">
        <v>379.15300000000002</v>
      </c>
      <c r="W47">
        <v>350.78300000000002</v>
      </c>
      <c r="X47">
        <v>299.18900000000002</v>
      </c>
      <c r="Y47">
        <v>431.37</v>
      </c>
      <c r="Z47">
        <v>365.31099999999998</v>
      </c>
      <c r="AA47">
        <v>0.52700000000000002</v>
      </c>
      <c r="AB47">
        <v>740.7</v>
      </c>
      <c r="AC47">
        <v>529.20000000000005</v>
      </c>
      <c r="AD47">
        <v>550.20000000000005</v>
      </c>
      <c r="AE47">
        <v>358</v>
      </c>
      <c r="AF47">
        <v>0.27</v>
      </c>
      <c r="AG47">
        <v>552.29999999999995</v>
      </c>
      <c r="AH47">
        <v>0.97899999999999998</v>
      </c>
      <c r="AI47">
        <v>0.747</v>
      </c>
      <c r="AJ47">
        <v>88.6</v>
      </c>
      <c r="AK47">
        <v>7.59</v>
      </c>
      <c r="AL47">
        <v>90.5</v>
      </c>
      <c r="AM47">
        <v>40.6633</v>
      </c>
      <c r="AN47">
        <v>-85.86645</v>
      </c>
      <c r="AO47">
        <v>227.1</v>
      </c>
      <c r="AP47">
        <v>114.7</v>
      </c>
      <c r="AQ47">
        <v>7.82</v>
      </c>
      <c r="AR47">
        <v>-82.1</v>
      </c>
      <c r="AS47">
        <v>12.1</v>
      </c>
      <c r="AT47">
        <v>0</v>
      </c>
      <c r="AU47">
        <v>22.986999999999998</v>
      </c>
      <c r="AV47">
        <v>11.39</v>
      </c>
      <c r="AW47">
        <v>0</v>
      </c>
      <c r="AX47">
        <v>-85.866574819999997</v>
      </c>
      <c r="AY47">
        <v>40.663138060000001</v>
      </c>
      <c r="AZ47">
        <f t="shared" si="0"/>
        <v>6</v>
      </c>
      <c r="BA47">
        <f t="shared" si="1"/>
        <v>12</v>
      </c>
      <c r="BB47">
        <f t="shared" si="2"/>
        <v>2024</v>
      </c>
      <c r="BD47" s="19">
        <v>45455</v>
      </c>
    </row>
    <row r="48" spans="1:56" x14ac:dyDescent="0.25">
      <c r="A48" s="25">
        <v>10313</v>
      </c>
      <c r="B48" t="s">
        <v>332</v>
      </c>
      <c r="C48" t="s">
        <v>332</v>
      </c>
      <c r="D48" s="27" t="s">
        <v>460</v>
      </c>
      <c r="E48" s="27">
        <v>5</v>
      </c>
      <c r="F48" s="56"/>
      <c r="G48">
        <v>12821</v>
      </c>
      <c r="H48" t="s">
        <v>17</v>
      </c>
      <c r="I48" t="s">
        <v>8</v>
      </c>
      <c r="J48">
        <v>1.0200000000000001E-2</v>
      </c>
      <c r="K48">
        <v>2.5129999999999999</v>
      </c>
      <c r="L48">
        <v>3.5999999999999997E-2</v>
      </c>
      <c r="N48" t="s">
        <v>509</v>
      </c>
      <c r="O48">
        <v>71.33</v>
      </c>
      <c r="P48">
        <v>4.4799999999999995</v>
      </c>
      <c r="Q48">
        <v>2.9791314185058226</v>
      </c>
      <c r="R48">
        <v>1.2346244984016868</v>
      </c>
      <c r="S48">
        <v>196.03</v>
      </c>
      <c r="T48">
        <v>297.02600000000001</v>
      </c>
      <c r="U48">
        <v>437.03899999999999</v>
      </c>
      <c r="V48">
        <v>478.58499999999998</v>
      </c>
      <c r="W48">
        <v>442.28300000000002</v>
      </c>
      <c r="X48">
        <v>381.73099999999999</v>
      </c>
      <c r="Y48">
        <v>457.13200000000001</v>
      </c>
      <c r="Z48">
        <v>400.04199999999997</v>
      </c>
      <c r="AA48">
        <v>0.78</v>
      </c>
      <c r="AB48">
        <v>740.5</v>
      </c>
      <c r="AC48">
        <v>515</v>
      </c>
      <c r="AD48">
        <v>521.6</v>
      </c>
      <c r="AE48">
        <v>339</v>
      </c>
      <c r="AF48">
        <v>0.25</v>
      </c>
      <c r="AG48">
        <v>522.29999999999995</v>
      </c>
      <c r="AH48">
        <v>0.80600000000000005</v>
      </c>
      <c r="AI48">
        <v>1.1060000000000001</v>
      </c>
      <c r="AJ48">
        <v>173.2</v>
      </c>
      <c r="AK48">
        <v>14.47</v>
      </c>
      <c r="AL48">
        <v>176.9</v>
      </c>
      <c r="AM48">
        <v>40.669080000000001</v>
      </c>
      <c r="AN48">
        <v>-85.847269999999995</v>
      </c>
      <c r="AO48">
        <v>224.1</v>
      </c>
      <c r="AP48">
        <v>75.400000000000006</v>
      </c>
      <c r="AQ48">
        <v>8.17</v>
      </c>
      <c r="AR48">
        <v>-103.7</v>
      </c>
      <c r="AS48">
        <v>12.1</v>
      </c>
      <c r="AT48">
        <v>0</v>
      </c>
      <c r="AU48">
        <v>24.338000000000001</v>
      </c>
      <c r="AV48">
        <v>13.47</v>
      </c>
      <c r="AW48">
        <v>0</v>
      </c>
      <c r="AX48">
        <v>-85.847674220000002</v>
      </c>
      <c r="AY48">
        <v>40.668509559999997</v>
      </c>
      <c r="AZ48">
        <f t="shared" si="0"/>
        <v>6</v>
      </c>
      <c r="BA48">
        <f t="shared" si="1"/>
        <v>12</v>
      </c>
      <c r="BB48">
        <f t="shared" si="2"/>
        <v>2024</v>
      </c>
      <c r="BD48" s="19">
        <v>45455</v>
      </c>
    </row>
    <row r="49" spans="1:56" x14ac:dyDescent="0.25">
      <c r="A49" s="25">
        <v>10314</v>
      </c>
      <c r="B49" t="s">
        <v>333</v>
      </c>
      <c r="C49" t="s">
        <v>333</v>
      </c>
      <c r="D49" s="27" t="s">
        <v>461</v>
      </c>
      <c r="E49" s="27">
        <v>6</v>
      </c>
      <c r="F49" s="56"/>
      <c r="G49">
        <v>14351</v>
      </c>
      <c r="H49" t="s">
        <v>17</v>
      </c>
      <c r="I49" t="s">
        <v>8</v>
      </c>
      <c r="J49">
        <v>1.6400000000000001E-2</v>
      </c>
      <c r="K49">
        <v>2.335</v>
      </c>
      <c r="L49">
        <v>1.7999999999999999E-2</v>
      </c>
      <c r="N49" t="s">
        <v>509</v>
      </c>
      <c r="O49">
        <v>40.770000000000003</v>
      </c>
      <c r="P49">
        <v>34.32</v>
      </c>
      <c r="Q49">
        <v>3.251503964268049</v>
      </c>
      <c r="R49">
        <v>1.2226541522138341</v>
      </c>
      <c r="S49">
        <v>209.33799999999999</v>
      </c>
      <c r="T49">
        <v>290.846</v>
      </c>
      <c r="U49">
        <v>426.08</v>
      </c>
      <c r="V49">
        <v>453.29199999999997</v>
      </c>
      <c r="W49">
        <v>400.59300000000002</v>
      </c>
      <c r="X49">
        <v>354.20499999999998</v>
      </c>
      <c r="Y49">
        <v>405.86099999999999</v>
      </c>
      <c r="Z49">
        <v>404.54199999999997</v>
      </c>
      <c r="AA49">
        <v>0.68400000000000005</v>
      </c>
      <c r="AB49">
        <v>740.3</v>
      </c>
      <c r="AC49">
        <v>508</v>
      </c>
      <c r="AD49">
        <v>506.8</v>
      </c>
      <c r="AE49">
        <v>329</v>
      </c>
      <c r="AF49">
        <v>0.24</v>
      </c>
      <c r="AG49">
        <v>506.6</v>
      </c>
      <c r="AH49">
        <v>0.65400000000000003</v>
      </c>
      <c r="AI49">
        <v>0.97</v>
      </c>
      <c r="AJ49">
        <v>215.9</v>
      </c>
      <c r="AK49">
        <v>17.78</v>
      </c>
      <c r="AL49">
        <v>220.5</v>
      </c>
      <c r="AM49">
        <v>40.673929999999999</v>
      </c>
      <c r="AN49">
        <v>-85.831980000000001</v>
      </c>
      <c r="AO49">
        <v>223.8</v>
      </c>
      <c r="AP49">
        <v>99.8</v>
      </c>
      <c r="AQ49">
        <v>8.33</v>
      </c>
      <c r="AR49">
        <v>-113.5</v>
      </c>
      <c r="AS49">
        <v>12.1</v>
      </c>
      <c r="AT49">
        <v>0</v>
      </c>
      <c r="AU49">
        <v>25.13</v>
      </c>
      <c r="AV49">
        <v>10.82</v>
      </c>
      <c r="AW49">
        <v>0</v>
      </c>
      <c r="AX49">
        <v>-85.831847109999998</v>
      </c>
      <c r="AY49">
        <v>40.67382929</v>
      </c>
      <c r="AZ49">
        <f t="shared" si="0"/>
        <v>6</v>
      </c>
      <c r="BA49">
        <f t="shared" si="1"/>
        <v>12</v>
      </c>
      <c r="BB49">
        <f t="shared" si="2"/>
        <v>2024</v>
      </c>
      <c r="BD49" s="19">
        <v>45455</v>
      </c>
    </row>
    <row r="50" spans="1:56" x14ac:dyDescent="0.25">
      <c r="A50" s="25">
        <v>10315</v>
      </c>
      <c r="B50" t="s">
        <v>334</v>
      </c>
      <c r="C50" t="s">
        <v>334</v>
      </c>
      <c r="D50" s="27" t="s">
        <v>462</v>
      </c>
      <c r="E50" s="27">
        <v>7</v>
      </c>
      <c r="F50" s="56"/>
      <c r="G50">
        <v>6411</v>
      </c>
      <c r="H50" t="s">
        <v>17</v>
      </c>
      <c r="I50" t="s">
        <v>8</v>
      </c>
      <c r="J50">
        <v>-6.7999999999999996E-3</v>
      </c>
      <c r="K50">
        <v>1.7130000000000001</v>
      </c>
      <c r="L50">
        <v>0.04</v>
      </c>
      <c r="N50" t="s">
        <v>509</v>
      </c>
      <c r="O50">
        <v>61.83</v>
      </c>
      <c r="P50">
        <v>5.3</v>
      </c>
      <c r="Q50">
        <v>2.9063601276533193</v>
      </c>
      <c r="R50">
        <v>0.9546816295994015</v>
      </c>
      <c r="S50">
        <v>196.32599999999999</v>
      </c>
      <c r="T50">
        <v>275.49200000000002</v>
      </c>
      <c r="U50">
        <v>406.375</v>
      </c>
      <c r="V50">
        <v>470.673</v>
      </c>
      <c r="W50">
        <v>385.88400000000001</v>
      </c>
      <c r="X50">
        <v>349.34500000000003</v>
      </c>
      <c r="Y50">
        <v>400.233</v>
      </c>
      <c r="Z50">
        <v>326.65600000000001</v>
      </c>
      <c r="AA50">
        <v>0.749</v>
      </c>
      <c r="AB50">
        <v>742</v>
      </c>
      <c r="AC50">
        <v>439.3</v>
      </c>
      <c r="AD50">
        <v>455.3</v>
      </c>
      <c r="AE50">
        <v>296</v>
      </c>
      <c r="AF50">
        <v>0.22</v>
      </c>
      <c r="AG50">
        <v>456.9</v>
      </c>
      <c r="AH50">
        <v>0.76700000000000002</v>
      </c>
      <c r="AI50">
        <v>1.0620000000000001</v>
      </c>
      <c r="AJ50">
        <v>146.1</v>
      </c>
      <c r="AK50">
        <v>12.48</v>
      </c>
      <c r="AL50">
        <v>149.1</v>
      </c>
      <c r="AM50">
        <v>40.689500000000002</v>
      </c>
      <c r="AN50">
        <v>-85.893889999999999</v>
      </c>
      <c r="AO50">
        <v>211.7</v>
      </c>
      <c r="AP50">
        <v>138.69999999999999</v>
      </c>
      <c r="AQ50">
        <v>8.3000000000000007</v>
      </c>
      <c r="AR50">
        <v>-110.7</v>
      </c>
      <c r="AS50">
        <v>12.1</v>
      </c>
      <c r="AT50">
        <v>0</v>
      </c>
      <c r="AU50">
        <v>23.155999999999999</v>
      </c>
      <c r="AV50">
        <v>10.66</v>
      </c>
      <c r="AW50">
        <v>0</v>
      </c>
      <c r="AX50">
        <v>-85.895519590000006</v>
      </c>
      <c r="AY50">
        <v>40.68853842</v>
      </c>
      <c r="AZ50">
        <f t="shared" si="0"/>
        <v>6</v>
      </c>
      <c r="BA50">
        <f t="shared" si="1"/>
        <v>12</v>
      </c>
      <c r="BB50">
        <f t="shared" si="2"/>
        <v>2024</v>
      </c>
      <c r="BD50" s="19">
        <v>45455</v>
      </c>
    </row>
    <row r="51" spans="1:56" x14ac:dyDescent="0.25">
      <c r="A51" s="25">
        <v>10316</v>
      </c>
      <c r="B51" s="67" t="s">
        <v>335</v>
      </c>
      <c r="C51" s="67" t="s">
        <v>335</v>
      </c>
      <c r="D51" s="68" t="s">
        <v>463</v>
      </c>
      <c r="E51" s="68">
        <v>8</v>
      </c>
      <c r="F51" s="114"/>
      <c r="G51">
        <v>5401</v>
      </c>
      <c r="H51" s="67" t="s">
        <v>17</v>
      </c>
      <c r="I51" s="67" t="s">
        <v>8</v>
      </c>
      <c r="J51" s="115">
        <v>2.463333333333333E-2</v>
      </c>
      <c r="K51" s="67">
        <v>2.6583333333333332</v>
      </c>
      <c r="L51" s="67">
        <v>6.4000000000000001E-2</v>
      </c>
      <c r="N51" t="s">
        <v>509</v>
      </c>
      <c r="O51">
        <v>38.685000000000002</v>
      </c>
      <c r="P51">
        <v>26.08</v>
      </c>
      <c r="Q51">
        <v>3.0269525524946106</v>
      </c>
      <c r="R51">
        <v>1.5025970210161192</v>
      </c>
      <c r="S51">
        <v>189.47800000000001</v>
      </c>
      <c r="T51">
        <v>284.76499999999999</v>
      </c>
      <c r="U51">
        <v>404.34199999999998</v>
      </c>
      <c r="V51">
        <v>471.09800000000001</v>
      </c>
      <c r="W51">
        <v>391.89100000000002</v>
      </c>
      <c r="X51">
        <v>352.83</v>
      </c>
      <c r="Y51">
        <v>422.89600000000002</v>
      </c>
      <c r="Z51">
        <v>346.33300000000003</v>
      </c>
      <c r="AA51">
        <v>0.65500000000000003</v>
      </c>
      <c r="AB51">
        <v>741.7</v>
      </c>
      <c r="AC51">
        <v>441.2</v>
      </c>
      <c r="AD51">
        <v>460.2</v>
      </c>
      <c r="AE51">
        <v>299</v>
      </c>
      <c r="AF51">
        <v>0.22</v>
      </c>
      <c r="AG51">
        <v>462.1</v>
      </c>
      <c r="AH51">
        <v>0.621</v>
      </c>
      <c r="AI51">
        <v>0.92900000000000005</v>
      </c>
      <c r="AJ51">
        <v>130.30000000000001</v>
      </c>
      <c r="AK51">
        <v>11.2</v>
      </c>
      <c r="AL51">
        <v>133</v>
      </c>
      <c r="AM51">
        <v>40.69211</v>
      </c>
      <c r="AN51">
        <v>-85.908360000000002</v>
      </c>
      <c r="AO51">
        <v>225.8</v>
      </c>
      <c r="AP51">
        <v>84.8</v>
      </c>
      <c r="AQ51">
        <v>8.36</v>
      </c>
      <c r="AR51">
        <v>-114.2</v>
      </c>
      <c r="AS51">
        <v>12.1</v>
      </c>
      <c r="AT51">
        <v>0</v>
      </c>
      <c r="AU51">
        <v>22.838999999999999</v>
      </c>
      <c r="AV51">
        <v>9.91</v>
      </c>
      <c r="AW51">
        <v>0</v>
      </c>
      <c r="AX51">
        <v>-85.908480589999996</v>
      </c>
      <c r="AY51">
        <v>40.691867619999996</v>
      </c>
      <c r="AZ51">
        <f t="shared" si="0"/>
        <v>6</v>
      </c>
      <c r="BA51">
        <f t="shared" si="1"/>
        <v>12</v>
      </c>
      <c r="BB51">
        <f t="shared" si="2"/>
        <v>2024</v>
      </c>
      <c r="BD51" s="19">
        <v>45455</v>
      </c>
    </row>
    <row r="52" spans="1:56" x14ac:dyDescent="0.25">
      <c r="A52" s="25">
        <v>10317</v>
      </c>
      <c r="B52" t="s">
        <v>336</v>
      </c>
      <c r="C52" t="s">
        <v>336</v>
      </c>
      <c r="D52" s="27" t="s">
        <v>464</v>
      </c>
      <c r="E52" s="27">
        <v>9</v>
      </c>
      <c r="F52" s="56"/>
      <c r="G52">
        <v>4381</v>
      </c>
      <c r="H52" t="s">
        <v>17</v>
      </c>
      <c r="I52" t="s">
        <v>8</v>
      </c>
      <c r="J52">
        <v>2.3099999999999999E-2</v>
      </c>
      <c r="K52">
        <v>2.427</v>
      </c>
      <c r="L52">
        <v>0.06</v>
      </c>
      <c r="N52" t="s">
        <v>509</v>
      </c>
      <c r="O52">
        <v>16.743333333333336</v>
      </c>
      <c r="P52">
        <v>8.1</v>
      </c>
      <c r="Q52">
        <v>3.3097209969500514</v>
      </c>
      <c r="R52">
        <v>1.7431601713935931</v>
      </c>
      <c r="S52">
        <v>197.376</v>
      </c>
      <c r="T52">
        <v>270.86399999999998</v>
      </c>
      <c r="U52">
        <v>390.149</v>
      </c>
      <c r="V52">
        <v>449.55900000000003</v>
      </c>
      <c r="W52">
        <v>384.97300000000001</v>
      </c>
      <c r="X52">
        <v>351.07600000000002</v>
      </c>
      <c r="Y52">
        <v>350.88</v>
      </c>
      <c r="Z52">
        <v>305.39699999999999</v>
      </c>
      <c r="AA52">
        <v>0.76100000000000001</v>
      </c>
      <c r="AB52">
        <v>741.3</v>
      </c>
      <c r="AC52">
        <v>433.1</v>
      </c>
      <c r="AD52">
        <v>456.8</v>
      </c>
      <c r="AE52">
        <v>297</v>
      </c>
      <c r="AF52">
        <v>0.22</v>
      </c>
      <c r="AG52">
        <v>459.2</v>
      </c>
      <c r="AH52">
        <v>0.76100000000000001</v>
      </c>
      <c r="AI52">
        <v>1.079</v>
      </c>
      <c r="AJ52">
        <v>99.6</v>
      </c>
      <c r="AK52">
        <v>8.66</v>
      </c>
      <c r="AL52">
        <v>101.7</v>
      </c>
      <c r="AM52">
        <v>40.705030000000001</v>
      </c>
      <c r="AN52">
        <v>-85.92944</v>
      </c>
      <c r="AO52">
        <v>228.2</v>
      </c>
      <c r="AP52">
        <v>33.4</v>
      </c>
      <c r="AQ52">
        <v>8.15</v>
      </c>
      <c r="AR52">
        <v>-101.9</v>
      </c>
      <c r="AS52">
        <v>12.1</v>
      </c>
      <c r="AT52">
        <v>0</v>
      </c>
      <c r="AU52">
        <v>22.277000000000001</v>
      </c>
      <c r="AV52">
        <v>6.95</v>
      </c>
      <c r="AW52">
        <v>0</v>
      </c>
      <c r="AX52">
        <v>-85.929715139999999</v>
      </c>
      <c r="AY52">
        <v>40.704621889999999</v>
      </c>
      <c r="AZ52">
        <f t="shared" si="0"/>
        <v>6</v>
      </c>
      <c r="BA52">
        <f t="shared" si="1"/>
        <v>12</v>
      </c>
      <c r="BB52">
        <f t="shared" si="2"/>
        <v>2024</v>
      </c>
      <c r="BD52" s="19">
        <v>45455</v>
      </c>
    </row>
    <row r="53" spans="1:56" x14ac:dyDescent="0.25">
      <c r="A53" s="25">
        <v>10318</v>
      </c>
      <c r="B53" t="s">
        <v>337</v>
      </c>
      <c r="C53" t="s">
        <v>337</v>
      </c>
      <c r="D53" s="27" t="s">
        <v>465</v>
      </c>
      <c r="E53" s="27">
        <v>10</v>
      </c>
      <c r="F53" s="56"/>
      <c r="G53">
        <v>2851</v>
      </c>
      <c r="H53" t="s">
        <v>17</v>
      </c>
      <c r="I53" t="s">
        <v>8</v>
      </c>
      <c r="J53">
        <v>6.0000000000000001E-3</v>
      </c>
      <c r="K53">
        <v>2.351</v>
      </c>
      <c r="L53">
        <v>5.8999999999999997E-2</v>
      </c>
      <c r="N53" t="s">
        <v>509</v>
      </c>
      <c r="O53">
        <v>20.553333333333331</v>
      </c>
      <c r="P53">
        <v>27.79666666666667</v>
      </c>
      <c r="Q53">
        <v>2.9578198261847324</v>
      </c>
      <c r="R53">
        <v>1.5434050193837994</v>
      </c>
      <c r="S53">
        <v>207.352</v>
      </c>
      <c r="T53">
        <v>285.62700000000001</v>
      </c>
      <c r="U53">
        <v>412.27800000000002</v>
      </c>
      <c r="V53">
        <v>472.49900000000002</v>
      </c>
      <c r="W53">
        <v>396.11500000000001</v>
      </c>
      <c r="X53">
        <v>363.15199999999999</v>
      </c>
      <c r="Y53">
        <v>387.09</v>
      </c>
      <c r="Z53">
        <v>366.209</v>
      </c>
      <c r="AA53">
        <v>0.59499999999999997</v>
      </c>
      <c r="AB53">
        <v>741.5</v>
      </c>
      <c r="AC53">
        <v>443.5</v>
      </c>
      <c r="AD53">
        <v>463.3</v>
      </c>
      <c r="AE53">
        <v>301</v>
      </c>
      <c r="AF53">
        <v>0.22</v>
      </c>
      <c r="AG53">
        <v>465.2</v>
      </c>
      <c r="AH53">
        <v>0.58299999999999996</v>
      </c>
      <c r="AI53">
        <v>0.84399999999999997</v>
      </c>
      <c r="AJ53">
        <v>117.1</v>
      </c>
      <c r="AK53">
        <v>10.08</v>
      </c>
      <c r="AL53">
        <v>119.6</v>
      </c>
      <c r="AM53">
        <v>40.693980000000003</v>
      </c>
      <c r="AN53">
        <v>-85.919560000000004</v>
      </c>
      <c r="AO53">
        <v>225.3</v>
      </c>
      <c r="AP53">
        <v>95.2</v>
      </c>
      <c r="AQ53">
        <v>8.24</v>
      </c>
      <c r="AR53">
        <v>-107</v>
      </c>
      <c r="AS53">
        <v>12.1</v>
      </c>
      <c r="AT53">
        <v>0</v>
      </c>
      <c r="AU53">
        <v>22.77</v>
      </c>
      <c r="AV53">
        <v>7.71</v>
      </c>
      <c r="AW53">
        <v>0</v>
      </c>
      <c r="AX53">
        <v>-85.920466590000004</v>
      </c>
      <c r="AY53">
        <v>40.693373649999998</v>
      </c>
      <c r="AZ53">
        <f t="shared" si="0"/>
        <v>6</v>
      </c>
      <c r="BA53">
        <f t="shared" si="1"/>
        <v>12</v>
      </c>
      <c r="BB53">
        <f t="shared" si="2"/>
        <v>2024</v>
      </c>
      <c r="BD53" s="19">
        <v>45455</v>
      </c>
    </row>
    <row r="54" spans="1:56" x14ac:dyDescent="0.25">
      <c r="A54" s="25">
        <v>10319</v>
      </c>
      <c r="B54" t="s">
        <v>338</v>
      </c>
      <c r="C54" t="s">
        <v>338</v>
      </c>
      <c r="D54" s="27" t="s">
        <v>466</v>
      </c>
      <c r="E54" s="27">
        <v>11</v>
      </c>
      <c r="F54" s="56"/>
      <c r="G54">
        <v>1731</v>
      </c>
      <c r="H54" t="s">
        <v>17</v>
      </c>
      <c r="I54" t="s">
        <v>8</v>
      </c>
      <c r="J54">
        <v>-7.1000000000000004E-3</v>
      </c>
      <c r="K54">
        <v>2.38</v>
      </c>
      <c r="L54">
        <v>6.9000000000000006E-2</v>
      </c>
      <c r="N54" t="s">
        <v>509</v>
      </c>
      <c r="O54">
        <v>48.42</v>
      </c>
      <c r="P54">
        <v>37.995000000000005</v>
      </c>
      <c r="Q54">
        <v>3.085169585176613</v>
      </c>
      <c r="R54">
        <v>1.566053458477862</v>
      </c>
      <c r="S54">
        <v>195.47399999999999</v>
      </c>
      <c r="T54">
        <v>281.11799999999999</v>
      </c>
      <c r="U54">
        <v>399.63200000000001</v>
      </c>
      <c r="V54">
        <v>462.21499999999997</v>
      </c>
      <c r="W54">
        <v>370.37400000000002</v>
      </c>
      <c r="X54">
        <v>341.142</v>
      </c>
      <c r="Y54">
        <v>400.07100000000003</v>
      </c>
      <c r="Z54">
        <v>323.428</v>
      </c>
      <c r="AA54">
        <v>0.83299999999999996</v>
      </c>
      <c r="AB54">
        <v>741.3</v>
      </c>
      <c r="AC54">
        <v>432.8</v>
      </c>
      <c r="AD54">
        <v>449</v>
      </c>
      <c r="AE54">
        <v>292</v>
      </c>
      <c r="AF54">
        <v>0.22</v>
      </c>
      <c r="AG54">
        <v>450.6</v>
      </c>
      <c r="AH54">
        <v>0.83199999999999996</v>
      </c>
      <c r="AI54">
        <v>1.1819999999999999</v>
      </c>
      <c r="AJ54">
        <v>131.80000000000001</v>
      </c>
      <c r="AK54">
        <v>11.27</v>
      </c>
      <c r="AL54">
        <v>134.6</v>
      </c>
      <c r="AM54">
        <v>40.71105</v>
      </c>
      <c r="AN54">
        <v>-85.938419999999994</v>
      </c>
      <c r="AO54">
        <v>226.4</v>
      </c>
      <c r="AP54">
        <v>87.7</v>
      </c>
      <c r="AQ54">
        <v>8.32</v>
      </c>
      <c r="AR54">
        <v>-112.2</v>
      </c>
      <c r="AS54">
        <v>12.1</v>
      </c>
      <c r="AT54">
        <v>0</v>
      </c>
      <c r="AU54">
        <v>23.109000000000002</v>
      </c>
      <c r="AV54">
        <v>9.1199999999999992</v>
      </c>
      <c r="AW54">
        <v>0</v>
      </c>
      <c r="AX54">
        <v>-85.938395619999994</v>
      </c>
      <c r="AY54">
        <v>40.71107155</v>
      </c>
      <c r="AZ54">
        <f t="shared" si="0"/>
        <v>6</v>
      </c>
      <c r="BA54">
        <f t="shared" si="1"/>
        <v>12</v>
      </c>
      <c r="BB54">
        <f t="shared" si="2"/>
        <v>2024</v>
      </c>
      <c r="BD54" s="19">
        <v>45455</v>
      </c>
    </row>
    <row r="55" spans="1:56" x14ac:dyDescent="0.25">
      <c r="A55" s="25">
        <v>10320</v>
      </c>
      <c r="B55" t="s">
        <v>339</v>
      </c>
      <c r="C55" t="s">
        <v>339</v>
      </c>
      <c r="D55" s="27" t="s">
        <v>467</v>
      </c>
      <c r="E55" s="27">
        <v>12</v>
      </c>
      <c r="F55" s="56"/>
      <c r="G55">
        <v>661</v>
      </c>
      <c r="H55" t="s">
        <v>17</v>
      </c>
      <c r="I55" t="s">
        <v>8</v>
      </c>
      <c r="J55">
        <v>-1.1999999999999999E-3</v>
      </c>
      <c r="K55">
        <v>2.2639999999999998</v>
      </c>
      <c r="L55">
        <v>6.8000000000000005E-2</v>
      </c>
      <c r="N55" t="s">
        <v>509</v>
      </c>
      <c r="O55">
        <v>37.89</v>
      </c>
      <c r="P55">
        <v>39.58</v>
      </c>
      <c r="Q55">
        <v>3.3388295132910524</v>
      </c>
      <c r="R55">
        <v>1.6019644970414202</v>
      </c>
      <c r="S55">
        <v>197.63499999999999</v>
      </c>
      <c r="T55">
        <v>275.97500000000002</v>
      </c>
      <c r="U55">
        <v>396.01499999999999</v>
      </c>
      <c r="V55">
        <v>461.95100000000002</v>
      </c>
      <c r="W55">
        <v>376.846</v>
      </c>
      <c r="X55">
        <v>342.74</v>
      </c>
      <c r="Y55">
        <v>399.78</v>
      </c>
      <c r="Z55">
        <v>319.15899999999999</v>
      </c>
      <c r="AA55">
        <v>0.74199999999999999</v>
      </c>
      <c r="AB55">
        <v>741.2</v>
      </c>
      <c r="AC55">
        <v>429.8</v>
      </c>
      <c r="AD55">
        <v>443.1</v>
      </c>
      <c r="AE55">
        <v>288</v>
      </c>
      <c r="AF55">
        <v>0.21</v>
      </c>
      <c r="AG55">
        <v>444.5</v>
      </c>
      <c r="AH55">
        <v>0.76500000000000001</v>
      </c>
      <c r="AI55">
        <v>1.0529999999999999</v>
      </c>
      <c r="AJ55">
        <v>146.1</v>
      </c>
      <c r="AK55">
        <v>12.42</v>
      </c>
      <c r="AL55">
        <v>149.19999999999999</v>
      </c>
      <c r="AM55">
        <v>40.712389999999999</v>
      </c>
      <c r="AN55">
        <v>-85.950130000000001</v>
      </c>
      <c r="AO55">
        <v>226.7</v>
      </c>
      <c r="AP55">
        <v>99</v>
      </c>
      <c r="AQ55">
        <v>8.42</v>
      </c>
      <c r="AR55">
        <v>-117.9</v>
      </c>
      <c r="AS55">
        <v>12.1</v>
      </c>
      <c r="AT55">
        <v>0</v>
      </c>
      <c r="AU55">
        <v>23.42</v>
      </c>
      <c r="AV55">
        <v>9</v>
      </c>
      <c r="AW55">
        <v>0</v>
      </c>
      <c r="AX55">
        <v>-85.95084713</v>
      </c>
      <c r="AY55">
        <v>40.711626320000001</v>
      </c>
      <c r="AZ55">
        <f t="shared" si="0"/>
        <v>6</v>
      </c>
      <c r="BA55">
        <f t="shared" si="1"/>
        <v>12</v>
      </c>
      <c r="BB55">
        <f t="shared" si="2"/>
        <v>2024</v>
      </c>
      <c r="BD55" s="19">
        <v>45455</v>
      </c>
    </row>
    <row r="56" spans="1:56" x14ac:dyDescent="0.25">
      <c r="A56" s="25">
        <v>10321</v>
      </c>
      <c r="B56" t="s">
        <v>340</v>
      </c>
      <c r="C56" t="s">
        <v>340</v>
      </c>
      <c r="D56" s="27" t="s">
        <v>468</v>
      </c>
      <c r="E56" s="27">
        <v>13</v>
      </c>
      <c r="F56" s="56"/>
      <c r="G56">
        <v>13553</v>
      </c>
      <c r="H56" t="s">
        <v>17</v>
      </c>
      <c r="I56" t="s">
        <v>8</v>
      </c>
      <c r="J56">
        <v>4.3E-3</v>
      </c>
      <c r="K56">
        <v>2.3530000000000002</v>
      </c>
      <c r="L56">
        <v>2.5000000000000001E-2</v>
      </c>
      <c r="N56" t="s">
        <v>509</v>
      </c>
      <c r="O56" t="s">
        <v>509</v>
      </c>
      <c r="P56" t="s">
        <v>509</v>
      </c>
      <c r="Q56">
        <v>3.0602194283128976</v>
      </c>
      <c r="R56">
        <v>1.5717665782493371</v>
      </c>
      <c r="S56">
        <v>202.89500000000001</v>
      </c>
      <c r="T56">
        <v>291.48599999999999</v>
      </c>
      <c r="U56">
        <v>432.08300000000003</v>
      </c>
      <c r="V56">
        <v>478.09100000000001</v>
      </c>
      <c r="W56">
        <v>427.91500000000002</v>
      </c>
      <c r="X56">
        <v>365.62400000000002</v>
      </c>
      <c r="Y56">
        <v>439.44499999999999</v>
      </c>
      <c r="Z56">
        <v>397.91800000000001</v>
      </c>
      <c r="AZ56">
        <f t="shared" si="0"/>
        <v>6</v>
      </c>
      <c r="BA56">
        <f t="shared" si="1"/>
        <v>12</v>
      </c>
      <c r="BB56">
        <f t="shared" si="2"/>
        <v>2024</v>
      </c>
      <c r="BD56" s="19">
        <v>45455</v>
      </c>
    </row>
    <row r="57" spans="1:56" x14ac:dyDescent="0.25">
      <c r="A57" s="25">
        <v>10322</v>
      </c>
      <c r="B57" t="s">
        <v>341</v>
      </c>
      <c r="C57" t="s">
        <v>341</v>
      </c>
      <c r="D57" s="27" t="s">
        <v>497</v>
      </c>
      <c r="E57" s="27">
        <v>1</v>
      </c>
      <c r="G57">
        <v>6865</v>
      </c>
      <c r="H57" t="s">
        <v>18</v>
      </c>
      <c r="I57" t="s">
        <v>8</v>
      </c>
      <c r="J57">
        <v>2.5999999999999999E-3</v>
      </c>
      <c r="K57">
        <v>2.2789999999999999</v>
      </c>
      <c r="L57">
        <v>0.154</v>
      </c>
      <c r="M57">
        <v>0.05</v>
      </c>
      <c r="N57" s="41">
        <v>0.15</v>
      </c>
      <c r="O57">
        <v>33.06666666666667</v>
      </c>
      <c r="P57">
        <v>45.78</v>
      </c>
      <c r="Q57" s="27">
        <v>2.4728177331931072</v>
      </c>
      <c r="R57" s="27">
        <v>1.4402379736275062</v>
      </c>
      <c r="S57" s="27">
        <v>168.483</v>
      </c>
      <c r="T57" s="27">
        <v>272.15499999999997</v>
      </c>
      <c r="U57" s="27">
        <v>377.65499999999997</v>
      </c>
      <c r="V57" s="27">
        <v>455.666</v>
      </c>
      <c r="W57" s="27">
        <v>398.94900000000001</v>
      </c>
      <c r="X57" s="27">
        <v>332.40899999999999</v>
      </c>
      <c r="Y57" s="27">
        <v>398.71</v>
      </c>
      <c r="Z57" s="27">
        <v>470.53699999999998</v>
      </c>
      <c r="AA57">
        <v>0.49199999999999999</v>
      </c>
      <c r="AB57">
        <v>740.5</v>
      </c>
      <c r="AC57">
        <v>604.29999999999995</v>
      </c>
      <c r="AD57">
        <v>609</v>
      </c>
      <c r="AE57">
        <v>396</v>
      </c>
      <c r="AF57">
        <v>0.28999999999999998</v>
      </c>
      <c r="AG57">
        <v>609.5</v>
      </c>
      <c r="AH57">
        <v>0.50600000000000001</v>
      </c>
      <c r="AI57">
        <v>0.69799999999999995</v>
      </c>
      <c r="AJ57">
        <v>196.9</v>
      </c>
      <c r="AK57">
        <v>16.37</v>
      </c>
      <c r="AL57">
        <v>201.7</v>
      </c>
      <c r="AM57">
        <v>40.835189999999997</v>
      </c>
      <c r="AN57">
        <v>-86.807299999999998</v>
      </c>
      <c r="AO57">
        <v>195.6</v>
      </c>
      <c r="AP57">
        <v>125</v>
      </c>
      <c r="AQ57">
        <v>8.08</v>
      </c>
      <c r="AR57">
        <v>-83.3</v>
      </c>
      <c r="AS57">
        <v>11.9</v>
      </c>
      <c r="AT57">
        <v>0</v>
      </c>
      <c r="AU57">
        <v>24.594000000000001</v>
      </c>
      <c r="AV57">
        <v>9.24</v>
      </c>
      <c r="AW57">
        <v>0</v>
      </c>
      <c r="AX57">
        <v>-86.807147639999997</v>
      </c>
      <c r="AY57">
        <v>40.835024840000003</v>
      </c>
      <c r="AZ57">
        <f t="shared" si="0"/>
        <v>6</v>
      </c>
      <c r="BA57">
        <f t="shared" si="1"/>
        <v>13</v>
      </c>
      <c r="BB57">
        <f t="shared" si="2"/>
        <v>2024</v>
      </c>
      <c r="BD57" s="19">
        <v>45456</v>
      </c>
    </row>
    <row r="58" spans="1:56" x14ac:dyDescent="0.25">
      <c r="A58" s="25">
        <v>10323</v>
      </c>
      <c r="B58" t="s">
        <v>342</v>
      </c>
      <c r="C58" t="s">
        <v>342</v>
      </c>
      <c r="D58" s="27" t="s">
        <v>498</v>
      </c>
      <c r="E58" s="27">
        <v>5</v>
      </c>
      <c r="G58">
        <v>6425</v>
      </c>
      <c r="H58" t="s">
        <v>18</v>
      </c>
      <c r="I58" t="s">
        <v>8</v>
      </c>
      <c r="J58">
        <v>-1.4E-3</v>
      </c>
      <c r="K58">
        <v>2.58</v>
      </c>
      <c r="L58">
        <v>0.252</v>
      </c>
      <c r="M58">
        <v>0.05</v>
      </c>
      <c r="N58">
        <v>0.20767000509777853</v>
      </c>
      <c r="O58">
        <v>48.196666666666665</v>
      </c>
      <c r="P58">
        <v>15.299999999999999</v>
      </c>
      <c r="Q58" s="27">
        <v>2.7038872259525926</v>
      </c>
      <c r="R58" s="27">
        <v>1.6492898049215483</v>
      </c>
      <c r="S58" s="27">
        <v>287.95499999999998</v>
      </c>
      <c r="T58" s="27">
        <v>418.98399999999998</v>
      </c>
      <c r="U58" s="27">
        <v>510.88900000000001</v>
      </c>
      <c r="V58" s="27">
        <v>576.97199999999998</v>
      </c>
      <c r="W58" s="27">
        <v>517.68700000000001</v>
      </c>
      <c r="X58" s="27">
        <v>492.89699999999999</v>
      </c>
      <c r="Y58" s="27">
        <v>501.60700000000003</v>
      </c>
      <c r="Z58" s="27">
        <v>642.83000000000004</v>
      </c>
      <c r="AA58">
        <v>0.59</v>
      </c>
      <c r="AB58">
        <v>740.8</v>
      </c>
      <c r="AC58">
        <v>592.20000000000005</v>
      </c>
      <c r="AD58">
        <v>613</v>
      </c>
      <c r="AE58">
        <v>398</v>
      </c>
      <c r="AF58">
        <v>0.3</v>
      </c>
      <c r="AG58">
        <v>615.1</v>
      </c>
      <c r="AH58">
        <v>0.60599999999999998</v>
      </c>
      <c r="AI58">
        <v>0.83699999999999997</v>
      </c>
      <c r="AJ58">
        <v>159</v>
      </c>
      <c r="AK58">
        <v>13.56</v>
      </c>
      <c r="AL58">
        <v>162.9</v>
      </c>
      <c r="AM58">
        <v>40.823860000000003</v>
      </c>
      <c r="AN58">
        <v>-86.796040000000005</v>
      </c>
      <c r="AO58">
        <v>199</v>
      </c>
      <c r="AP58">
        <v>127.5</v>
      </c>
      <c r="AQ58">
        <v>8.09</v>
      </c>
      <c r="AR58">
        <v>-83.8</v>
      </c>
      <c r="AS58">
        <v>11.9</v>
      </c>
      <c r="AT58">
        <v>0</v>
      </c>
      <c r="AU58">
        <v>23.225000000000001</v>
      </c>
      <c r="AV58">
        <v>5.31</v>
      </c>
      <c r="AW58">
        <v>0</v>
      </c>
      <c r="AX58">
        <v>-86.795836289999997</v>
      </c>
      <c r="AY58">
        <v>40.823874850000003</v>
      </c>
      <c r="AZ58">
        <f t="shared" si="0"/>
        <v>6</v>
      </c>
      <c r="BA58">
        <f t="shared" si="1"/>
        <v>13</v>
      </c>
      <c r="BB58">
        <f t="shared" si="2"/>
        <v>2024</v>
      </c>
      <c r="BD58" s="19">
        <v>45456</v>
      </c>
    </row>
    <row r="59" spans="1:56" x14ac:dyDescent="0.25">
      <c r="A59" s="25">
        <v>10324</v>
      </c>
      <c r="B59" t="s">
        <v>343</v>
      </c>
      <c r="C59" t="s">
        <v>343</v>
      </c>
      <c r="D59" s="27" t="s">
        <v>477</v>
      </c>
      <c r="E59" s="27">
        <v>6</v>
      </c>
      <c r="G59">
        <v>8245</v>
      </c>
      <c r="H59" t="s">
        <v>18</v>
      </c>
      <c r="I59" t="s">
        <v>8</v>
      </c>
      <c r="J59">
        <v>-3.0000000000000001E-3</v>
      </c>
      <c r="K59">
        <v>3.7290000000000001</v>
      </c>
      <c r="L59">
        <v>0.25600000000000001</v>
      </c>
      <c r="M59">
        <v>0.05</v>
      </c>
      <c r="N59">
        <v>0.15314518702982555</v>
      </c>
      <c r="O59">
        <v>0.69</v>
      </c>
      <c r="P59">
        <v>1.61</v>
      </c>
      <c r="Q59" s="27">
        <v>2.668493649381118</v>
      </c>
      <c r="R59" s="27">
        <v>1.716485036408919</v>
      </c>
      <c r="S59" s="27">
        <v>294.44600000000003</v>
      </c>
      <c r="T59" s="27">
        <v>410.02800000000002</v>
      </c>
      <c r="U59" s="27">
        <v>463.17099999999999</v>
      </c>
      <c r="V59" s="27">
        <v>504.30900000000003</v>
      </c>
      <c r="W59" s="27">
        <v>482.34399999999999</v>
      </c>
      <c r="X59" s="27">
        <v>489.68</v>
      </c>
      <c r="Y59" s="27">
        <v>444.24599999999998</v>
      </c>
      <c r="Z59" s="27">
        <v>636.678</v>
      </c>
      <c r="AA59">
        <v>0.52800000000000002</v>
      </c>
      <c r="AB59">
        <v>740.9</v>
      </c>
      <c r="AC59">
        <v>643.1</v>
      </c>
      <c r="AD59">
        <v>667.2</v>
      </c>
      <c r="AE59">
        <v>434</v>
      </c>
      <c r="AF59">
        <v>0.32</v>
      </c>
      <c r="AG59">
        <v>669.6</v>
      </c>
      <c r="AH59">
        <v>0.52800000000000002</v>
      </c>
      <c r="AI59">
        <v>0.749</v>
      </c>
      <c r="AJ59">
        <v>102.6</v>
      </c>
      <c r="AK59">
        <v>8.76</v>
      </c>
      <c r="AL59">
        <v>105.1</v>
      </c>
      <c r="AM59">
        <v>40.835079999999998</v>
      </c>
      <c r="AN59">
        <v>-86.781679999999994</v>
      </c>
      <c r="AO59">
        <v>199.9</v>
      </c>
      <c r="AP59">
        <v>136.6</v>
      </c>
      <c r="AQ59">
        <v>8.02</v>
      </c>
      <c r="AR59">
        <v>-79.099999999999994</v>
      </c>
      <c r="AS59">
        <v>11.9</v>
      </c>
      <c r="AT59">
        <v>0</v>
      </c>
      <c r="AU59">
        <v>23.111999999999998</v>
      </c>
      <c r="AV59">
        <v>3.24</v>
      </c>
      <c r="AW59">
        <v>0</v>
      </c>
      <c r="AX59">
        <v>-86.781764559999999</v>
      </c>
      <c r="AY59">
        <v>40.834882550000003</v>
      </c>
      <c r="AZ59">
        <f t="shared" si="0"/>
        <v>6</v>
      </c>
      <c r="BA59">
        <f t="shared" si="1"/>
        <v>13</v>
      </c>
      <c r="BB59">
        <f t="shared" si="2"/>
        <v>2024</v>
      </c>
      <c r="BD59" s="19">
        <v>45456</v>
      </c>
    </row>
    <row r="60" spans="1:56" x14ac:dyDescent="0.25">
      <c r="A60" s="25">
        <v>10325</v>
      </c>
      <c r="B60" t="s">
        <v>344</v>
      </c>
      <c r="C60" t="s">
        <v>344</v>
      </c>
      <c r="D60" s="27" t="s">
        <v>478</v>
      </c>
      <c r="E60" s="27">
        <v>8</v>
      </c>
      <c r="G60">
        <v>5065</v>
      </c>
      <c r="H60" t="s">
        <v>18</v>
      </c>
      <c r="I60" t="s">
        <v>8</v>
      </c>
      <c r="J60">
        <v>1.9400000000000001E-2</v>
      </c>
      <c r="K60">
        <v>4.3680000000000003</v>
      </c>
      <c r="L60">
        <v>0.11799999999999999</v>
      </c>
      <c r="M60">
        <v>0.05</v>
      </c>
      <c r="N60">
        <v>5.4058683499071079E-2</v>
      </c>
      <c r="O60">
        <v>4.1033333333333326</v>
      </c>
      <c r="P60">
        <v>2.3266666666666667</v>
      </c>
      <c r="Q60" s="27">
        <v>2.1183763449559097</v>
      </c>
      <c r="R60" s="27">
        <v>2.4439289088172416</v>
      </c>
      <c r="S60" s="27">
        <v>289.01299999999998</v>
      </c>
      <c r="T60" s="27">
        <v>420.99700000000001</v>
      </c>
      <c r="U60" s="27">
        <v>483.27800000000002</v>
      </c>
      <c r="V60" s="27">
        <v>535.97900000000004</v>
      </c>
      <c r="W60" s="27">
        <v>510.08800000000002</v>
      </c>
      <c r="X60" s="27">
        <v>510.20499999999998</v>
      </c>
      <c r="Y60" s="27">
        <v>451.40600000000001</v>
      </c>
      <c r="Z60" s="27">
        <v>552.40700000000004</v>
      </c>
      <c r="AA60">
        <v>0.51600000000000001</v>
      </c>
      <c r="AB60">
        <v>741.1</v>
      </c>
      <c r="AC60">
        <v>622</v>
      </c>
      <c r="AD60">
        <v>645.4</v>
      </c>
      <c r="AE60">
        <v>420</v>
      </c>
      <c r="AF60">
        <v>0.31</v>
      </c>
      <c r="AG60">
        <v>647.79999999999995</v>
      </c>
      <c r="AH60">
        <v>0.497</v>
      </c>
      <c r="AI60">
        <v>0.73199999999999998</v>
      </c>
      <c r="AJ60">
        <v>99.4</v>
      </c>
      <c r="AK60">
        <v>8.5</v>
      </c>
      <c r="AL60">
        <v>101.9</v>
      </c>
      <c r="AM60">
        <v>40.81118</v>
      </c>
      <c r="AN60">
        <v>-86.794259999999994</v>
      </c>
      <c r="AO60">
        <v>201.3</v>
      </c>
      <c r="AP60">
        <v>141</v>
      </c>
      <c r="AQ60">
        <v>7.92</v>
      </c>
      <c r="AR60">
        <v>-73.599999999999994</v>
      </c>
      <c r="AS60">
        <v>12</v>
      </c>
      <c r="AT60">
        <v>0</v>
      </c>
      <c r="AU60">
        <v>23.1</v>
      </c>
      <c r="AV60">
        <v>4.9800000000000004</v>
      </c>
      <c r="AW60">
        <v>0</v>
      </c>
      <c r="AX60">
        <v>-86.794299730000006</v>
      </c>
      <c r="AY60">
        <v>40.81108966</v>
      </c>
      <c r="AZ60">
        <f t="shared" si="0"/>
        <v>6</v>
      </c>
      <c r="BA60">
        <f t="shared" si="1"/>
        <v>13</v>
      </c>
      <c r="BB60">
        <f t="shared" si="2"/>
        <v>2024</v>
      </c>
      <c r="BD60" s="19">
        <v>45456</v>
      </c>
    </row>
    <row r="61" spans="1:56" x14ac:dyDescent="0.25">
      <c r="A61" s="25">
        <v>10326</v>
      </c>
      <c r="B61" t="s">
        <v>345</v>
      </c>
      <c r="C61" t="s">
        <v>345</v>
      </c>
      <c r="D61" s="27" t="s">
        <v>479</v>
      </c>
      <c r="E61" s="27">
        <v>9</v>
      </c>
      <c r="G61">
        <v>3385</v>
      </c>
      <c r="H61" t="s">
        <v>18</v>
      </c>
      <c r="I61" t="s">
        <v>8</v>
      </c>
      <c r="J61">
        <v>1.6899999999999998E-2</v>
      </c>
      <c r="K61">
        <v>2.7010000000000001</v>
      </c>
      <c r="L61">
        <v>0.22</v>
      </c>
      <c r="M61">
        <v>0.05</v>
      </c>
      <c r="N61">
        <v>5.0012078729207099E-2</v>
      </c>
      <c r="O61">
        <v>26.650000000000002</v>
      </c>
      <c r="P61">
        <v>32.946666666666665</v>
      </c>
      <c r="Q61" s="27">
        <v>2.786809319634334</v>
      </c>
      <c r="R61" s="27">
        <v>1.1530943868211143</v>
      </c>
      <c r="S61" s="27">
        <v>299.28899999999999</v>
      </c>
      <c r="T61" s="27">
        <v>402.33</v>
      </c>
      <c r="U61" s="27">
        <v>487.93700000000001</v>
      </c>
      <c r="V61" s="27">
        <v>538.04200000000003</v>
      </c>
      <c r="W61" s="27">
        <v>532.86699999999996</v>
      </c>
      <c r="X61" s="27">
        <v>490.98200000000003</v>
      </c>
      <c r="Y61" s="27">
        <v>551.95899999999995</v>
      </c>
      <c r="Z61" s="27">
        <v>725.90899999999999</v>
      </c>
      <c r="AA61">
        <v>0.56799999999999995</v>
      </c>
      <c r="AB61">
        <v>740.7</v>
      </c>
      <c r="AC61">
        <v>609.9</v>
      </c>
      <c r="AD61">
        <v>632.9</v>
      </c>
      <c r="AE61">
        <v>411</v>
      </c>
      <c r="AF61">
        <v>0.31</v>
      </c>
      <c r="AG61">
        <v>635.20000000000005</v>
      </c>
      <c r="AH61">
        <v>0.55400000000000005</v>
      </c>
      <c r="AI61">
        <v>0.80600000000000005</v>
      </c>
      <c r="AJ61">
        <v>153.30000000000001</v>
      </c>
      <c r="AK61">
        <v>13.11</v>
      </c>
      <c r="AL61">
        <v>157.1</v>
      </c>
      <c r="AM61">
        <v>40.804569999999998</v>
      </c>
      <c r="AN61">
        <v>-86.774600000000007</v>
      </c>
      <c r="AO61">
        <v>200.9</v>
      </c>
      <c r="AP61">
        <v>123.3</v>
      </c>
      <c r="AQ61">
        <v>8.11</v>
      </c>
      <c r="AR61">
        <v>-84.4</v>
      </c>
      <c r="AS61">
        <v>11.9</v>
      </c>
      <c r="AT61">
        <v>0</v>
      </c>
      <c r="AU61">
        <v>23.096</v>
      </c>
      <c r="AV61">
        <v>5.92</v>
      </c>
      <c r="AW61">
        <v>0</v>
      </c>
      <c r="AX61">
        <v>-86.774830640000005</v>
      </c>
      <c r="AY61">
        <v>40.804242270000003</v>
      </c>
      <c r="AZ61">
        <f t="shared" si="0"/>
        <v>6</v>
      </c>
      <c r="BA61">
        <f t="shared" si="1"/>
        <v>13</v>
      </c>
      <c r="BB61">
        <f t="shared" si="2"/>
        <v>2024</v>
      </c>
      <c r="BD61" s="19">
        <v>45456</v>
      </c>
    </row>
    <row r="62" spans="1:56" x14ac:dyDescent="0.25">
      <c r="A62" s="25">
        <v>10327</v>
      </c>
      <c r="B62" t="s">
        <v>346</v>
      </c>
      <c r="C62" t="s">
        <v>346</v>
      </c>
      <c r="D62" s="27" t="s">
        <v>480</v>
      </c>
      <c r="E62" s="27">
        <v>10</v>
      </c>
      <c r="G62">
        <v>2205</v>
      </c>
      <c r="H62" t="s">
        <v>18</v>
      </c>
      <c r="I62" t="s">
        <v>8</v>
      </c>
      <c r="J62">
        <v>4.7899999999999998E-2</v>
      </c>
      <c r="K62">
        <v>2.5390000000000001</v>
      </c>
      <c r="L62">
        <v>0.16500000000000001</v>
      </c>
      <c r="M62">
        <v>0.05</v>
      </c>
      <c r="N62">
        <v>0.12300938510614215</v>
      </c>
      <c r="O62">
        <v>17.513333333333332</v>
      </c>
      <c r="P62">
        <v>18.7</v>
      </c>
      <c r="Q62" s="27">
        <v>2.5117506674217296</v>
      </c>
      <c r="R62" s="27">
        <v>1.4763579328954921</v>
      </c>
      <c r="S62" s="27">
        <v>326.209</v>
      </c>
      <c r="T62" s="27">
        <v>407.52699999999999</v>
      </c>
      <c r="U62" s="27">
        <v>462.06799999999998</v>
      </c>
      <c r="V62" s="27">
        <v>526.91200000000003</v>
      </c>
      <c r="W62" s="27">
        <v>516.46799999999996</v>
      </c>
      <c r="X62" s="27">
        <v>488.22199999999998</v>
      </c>
      <c r="Y62" s="27">
        <v>490.06799999999998</v>
      </c>
      <c r="Z62" s="27">
        <v>581.46299999999997</v>
      </c>
      <c r="AA62">
        <v>0.48599999999999999</v>
      </c>
      <c r="AB62">
        <v>740.5</v>
      </c>
      <c r="AC62">
        <v>622.79999999999995</v>
      </c>
      <c r="AD62">
        <v>649</v>
      </c>
      <c r="AE62">
        <v>422</v>
      </c>
      <c r="AF62">
        <v>0.32</v>
      </c>
      <c r="AG62">
        <v>651.5</v>
      </c>
      <c r="AH62">
        <v>0.48899999999999999</v>
      </c>
      <c r="AI62">
        <v>0.68899999999999995</v>
      </c>
      <c r="AJ62">
        <v>135.30000000000001</v>
      </c>
      <c r="AK62">
        <v>11.61</v>
      </c>
      <c r="AL62">
        <v>138.6</v>
      </c>
      <c r="AM62">
        <v>40.794840000000001</v>
      </c>
      <c r="AN62">
        <v>-86.774360000000001</v>
      </c>
      <c r="AO62">
        <v>201.1</v>
      </c>
      <c r="AP62">
        <v>129.5</v>
      </c>
      <c r="AQ62">
        <v>8.16</v>
      </c>
      <c r="AR62">
        <v>-87.7</v>
      </c>
      <c r="AS62">
        <v>12</v>
      </c>
      <c r="AT62">
        <v>0</v>
      </c>
      <c r="AU62">
        <v>22.89</v>
      </c>
      <c r="AV62">
        <v>4.8099999999999996</v>
      </c>
      <c r="AW62">
        <v>0</v>
      </c>
      <c r="AX62">
        <v>-86.774344880000001</v>
      </c>
      <c r="AY62">
        <v>40.794689409999997</v>
      </c>
      <c r="AZ62">
        <f t="shared" si="0"/>
        <v>6</v>
      </c>
      <c r="BA62">
        <f t="shared" si="1"/>
        <v>13</v>
      </c>
      <c r="BB62">
        <f t="shared" si="2"/>
        <v>2024</v>
      </c>
      <c r="BD62" s="19">
        <v>45456</v>
      </c>
    </row>
    <row r="63" spans="1:56" x14ac:dyDescent="0.25">
      <c r="A63" s="25">
        <v>10328</v>
      </c>
      <c r="B63" t="s">
        <v>347</v>
      </c>
      <c r="C63" t="s">
        <v>347</v>
      </c>
      <c r="D63" s="27" t="s">
        <v>481</v>
      </c>
      <c r="E63" s="27">
        <v>11</v>
      </c>
      <c r="G63">
        <v>1385</v>
      </c>
      <c r="H63" t="s">
        <v>18</v>
      </c>
      <c r="I63" t="s">
        <v>8</v>
      </c>
      <c r="J63">
        <v>2.0999999999999999E-3</v>
      </c>
      <c r="K63">
        <v>2.6720000000000002</v>
      </c>
      <c r="L63">
        <v>0.188</v>
      </c>
      <c r="M63">
        <v>0.05</v>
      </c>
      <c r="N63">
        <v>0.44766430882449798</v>
      </c>
      <c r="O63">
        <v>44.85</v>
      </c>
      <c r="P63">
        <v>42.493333333333332</v>
      </c>
      <c r="Q63" s="27">
        <v>2.9870358385243909</v>
      </c>
      <c r="R63" s="27">
        <v>1.8765025095905556</v>
      </c>
      <c r="S63" s="27">
        <v>361.13</v>
      </c>
      <c r="T63" s="27">
        <v>468.84300000000002</v>
      </c>
      <c r="U63" s="27">
        <v>553.65200000000004</v>
      </c>
      <c r="V63" s="27">
        <v>620.76900000000001</v>
      </c>
      <c r="W63" s="27">
        <v>611.28800000000001</v>
      </c>
      <c r="X63" s="27">
        <v>560.35699999999997</v>
      </c>
      <c r="Y63" s="27">
        <v>597.79399999999998</v>
      </c>
      <c r="Z63" s="27">
        <v>679.19799999999998</v>
      </c>
      <c r="AA63">
        <v>0.51900000000000002</v>
      </c>
      <c r="AB63">
        <v>741.3</v>
      </c>
      <c r="AC63">
        <v>596.29999999999995</v>
      </c>
      <c r="AD63">
        <v>621</v>
      </c>
      <c r="AE63">
        <v>404</v>
      </c>
      <c r="AF63">
        <v>0.3</v>
      </c>
      <c r="AG63">
        <v>623.5</v>
      </c>
      <c r="AH63">
        <v>0.496</v>
      </c>
      <c r="AI63">
        <v>0.73599999999999999</v>
      </c>
      <c r="AJ63">
        <v>177.8</v>
      </c>
      <c r="AK63">
        <v>15.25</v>
      </c>
      <c r="AL63">
        <v>182.2</v>
      </c>
      <c r="AM63">
        <v>40.788620000000002</v>
      </c>
      <c r="AN63">
        <v>-86.772130000000004</v>
      </c>
      <c r="AO63">
        <v>203.2</v>
      </c>
      <c r="AP63">
        <v>108.2</v>
      </c>
      <c r="AQ63">
        <v>8.19</v>
      </c>
      <c r="AR63">
        <v>-89.2</v>
      </c>
      <c r="AS63">
        <v>11.9</v>
      </c>
      <c r="AT63">
        <v>0</v>
      </c>
      <c r="AU63">
        <v>22.92</v>
      </c>
      <c r="AV63">
        <v>6.1</v>
      </c>
      <c r="AW63">
        <v>0</v>
      </c>
      <c r="AX63">
        <v>-86.772130180000005</v>
      </c>
      <c r="AY63">
        <v>40.78862204</v>
      </c>
      <c r="AZ63">
        <f t="shared" si="0"/>
        <v>6</v>
      </c>
      <c r="BA63">
        <f t="shared" si="1"/>
        <v>13</v>
      </c>
      <c r="BB63">
        <f t="shared" si="2"/>
        <v>2024</v>
      </c>
      <c r="BD63" s="19">
        <v>45456</v>
      </c>
    </row>
    <row r="64" spans="1:56" x14ac:dyDescent="0.25">
      <c r="A64" s="25">
        <v>10329</v>
      </c>
      <c r="B64" t="s">
        <v>348</v>
      </c>
      <c r="C64" t="s">
        <v>348</v>
      </c>
      <c r="D64" s="27" t="s">
        <v>482</v>
      </c>
      <c r="E64" s="27">
        <v>12</v>
      </c>
      <c r="G64">
        <v>275</v>
      </c>
      <c r="H64" t="s">
        <v>18</v>
      </c>
      <c r="I64" t="s">
        <v>8</v>
      </c>
      <c r="J64">
        <v>-9.7000000000000003E-3</v>
      </c>
      <c r="K64">
        <v>2.7610000000000001</v>
      </c>
      <c r="L64">
        <v>0.23899999999999999</v>
      </c>
      <c r="M64">
        <v>0.05</v>
      </c>
      <c r="N64">
        <v>0.80374419829372346</v>
      </c>
      <c r="O64">
        <v>40.43333333333333</v>
      </c>
      <c r="P64">
        <v>21.553333333333331</v>
      </c>
      <c r="Q64" s="27">
        <v>2.8348434592670495</v>
      </c>
      <c r="R64" s="27">
        <v>1.7076063872033806</v>
      </c>
      <c r="S64" s="27">
        <v>321.22500000000002</v>
      </c>
      <c r="T64" s="27">
        <v>424.97500000000002</v>
      </c>
      <c r="U64" s="27">
        <v>502.17099999999999</v>
      </c>
      <c r="V64" s="27">
        <v>554.06799999999998</v>
      </c>
      <c r="W64" s="27">
        <v>538.553</v>
      </c>
      <c r="X64" s="27">
        <v>506.01499999999999</v>
      </c>
      <c r="Y64" s="27">
        <v>546.38599999999997</v>
      </c>
      <c r="Z64" s="27">
        <v>627.28499999999997</v>
      </c>
      <c r="AA64">
        <v>0.49399999999999999</v>
      </c>
      <c r="AB64">
        <v>740.8</v>
      </c>
      <c r="AC64">
        <v>607.6</v>
      </c>
      <c r="AD64">
        <v>635.70000000000005</v>
      </c>
      <c r="AE64">
        <v>413</v>
      </c>
      <c r="AF64">
        <v>0.31</v>
      </c>
      <c r="AG64">
        <v>638.5</v>
      </c>
      <c r="AH64">
        <v>0.50600000000000001</v>
      </c>
      <c r="AI64">
        <v>0.70099999999999996</v>
      </c>
      <c r="AJ64">
        <v>150.69999999999999</v>
      </c>
      <c r="AK64">
        <v>12.99</v>
      </c>
      <c r="AL64">
        <v>154.4</v>
      </c>
      <c r="AM64">
        <v>40.782609999999998</v>
      </c>
      <c r="AN64">
        <v>-86.762110000000007</v>
      </c>
      <c r="AO64">
        <v>202.9</v>
      </c>
      <c r="AP64">
        <v>116.5</v>
      </c>
      <c r="AQ64">
        <v>8.2200000000000006</v>
      </c>
      <c r="AR64">
        <v>-91.3</v>
      </c>
      <c r="AS64">
        <v>11.9</v>
      </c>
      <c r="AT64">
        <v>0</v>
      </c>
      <c r="AU64">
        <v>22.684999999999999</v>
      </c>
      <c r="AV64">
        <v>4.6900000000000004</v>
      </c>
      <c r="AW64">
        <v>0</v>
      </c>
      <c r="AX64">
        <v>-86.762205379999997</v>
      </c>
      <c r="AY64">
        <v>40.782380209999999</v>
      </c>
      <c r="AZ64">
        <f t="shared" si="0"/>
        <v>6</v>
      </c>
      <c r="BA64">
        <f t="shared" si="1"/>
        <v>13</v>
      </c>
      <c r="BB64">
        <f t="shared" si="2"/>
        <v>2024</v>
      </c>
      <c r="BD64" s="19">
        <v>45456</v>
      </c>
    </row>
    <row r="65" spans="1:56" x14ac:dyDescent="0.25">
      <c r="A65" s="25">
        <v>10330</v>
      </c>
      <c r="B65" t="s">
        <v>349</v>
      </c>
      <c r="C65" t="s">
        <v>349</v>
      </c>
      <c r="D65" s="27" t="s">
        <v>483</v>
      </c>
      <c r="E65" s="27">
        <v>14</v>
      </c>
      <c r="G65">
        <v>4225</v>
      </c>
      <c r="H65" t="s">
        <v>18</v>
      </c>
      <c r="I65" t="s">
        <v>8</v>
      </c>
      <c r="J65">
        <v>1.9900000000000001E-2</v>
      </c>
      <c r="K65">
        <v>2.6760000000000002</v>
      </c>
      <c r="L65">
        <v>0.17599999999999999</v>
      </c>
      <c r="M65">
        <v>0.05</v>
      </c>
      <c r="N65">
        <v>0.20173514905278223</v>
      </c>
      <c r="O65">
        <v>8.5166666666666675</v>
      </c>
      <c r="P65">
        <v>4.7133333333333338</v>
      </c>
      <c r="Q65" s="27">
        <v>2.3019173206051291</v>
      </c>
      <c r="R65" s="27">
        <v>1.4049251642872962</v>
      </c>
      <c r="S65" s="27">
        <v>369.02300000000002</v>
      </c>
      <c r="T65" s="27">
        <v>524.81399999999996</v>
      </c>
      <c r="U65" s="27">
        <v>584.74300000000005</v>
      </c>
      <c r="V65" s="27">
        <v>632.80700000000002</v>
      </c>
      <c r="W65" s="27">
        <v>609.99300000000005</v>
      </c>
      <c r="X65" s="27">
        <v>620.36</v>
      </c>
      <c r="Y65" s="27">
        <v>557.12</v>
      </c>
      <c r="Z65" s="27">
        <v>700.74800000000005</v>
      </c>
      <c r="AA65">
        <v>0.47199999999999998</v>
      </c>
      <c r="AB65">
        <v>740.9</v>
      </c>
      <c r="AC65">
        <v>636.6</v>
      </c>
      <c r="AD65">
        <v>662.5</v>
      </c>
      <c r="AE65">
        <v>431</v>
      </c>
      <c r="AF65">
        <v>0.32</v>
      </c>
      <c r="AG65">
        <v>665.1</v>
      </c>
      <c r="AH65">
        <v>0.497</v>
      </c>
      <c r="AI65">
        <v>0.67</v>
      </c>
      <c r="AJ65">
        <v>106.7</v>
      </c>
      <c r="AK65">
        <v>9.15</v>
      </c>
      <c r="AL65">
        <v>109.3</v>
      </c>
      <c r="AM65">
        <v>40.807299999999998</v>
      </c>
      <c r="AN65">
        <v>-86.785290000000003</v>
      </c>
      <c r="AO65">
        <v>200.8</v>
      </c>
      <c r="AP65">
        <v>120.5</v>
      </c>
      <c r="AQ65">
        <v>8</v>
      </c>
      <c r="AR65">
        <v>-78.2</v>
      </c>
      <c r="AS65">
        <v>11.9</v>
      </c>
      <c r="AT65">
        <v>0</v>
      </c>
      <c r="AU65">
        <v>22.951000000000001</v>
      </c>
      <c r="AV65">
        <v>4.4000000000000004</v>
      </c>
      <c r="AW65">
        <v>0</v>
      </c>
      <c r="AX65">
        <v>-86.785247049999995</v>
      </c>
      <c r="AY65">
        <v>40.807313710000003</v>
      </c>
      <c r="AZ65">
        <f t="shared" si="0"/>
        <v>6</v>
      </c>
      <c r="BA65">
        <f t="shared" si="1"/>
        <v>13</v>
      </c>
      <c r="BB65">
        <f t="shared" si="2"/>
        <v>2024</v>
      </c>
      <c r="BD65" s="19">
        <v>45456</v>
      </c>
    </row>
    <row r="66" spans="1:56" x14ac:dyDescent="0.25">
      <c r="A66" s="25">
        <v>10331</v>
      </c>
      <c r="B66" t="s">
        <v>350</v>
      </c>
      <c r="C66" t="s">
        <v>350</v>
      </c>
      <c r="D66" s="27" t="s">
        <v>484</v>
      </c>
      <c r="E66" s="27">
        <v>15</v>
      </c>
      <c r="G66">
        <v>2905</v>
      </c>
      <c r="H66" t="s">
        <v>18</v>
      </c>
      <c r="I66" t="s">
        <v>8</v>
      </c>
      <c r="J66">
        <v>-0.01</v>
      </c>
      <c r="K66">
        <v>2.508</v>
      </c>
      <c r="L66">
        <v>0.193</v>
      </c>
      <c r="M66">
        <v>0.05</v>
      </c>
      <c r="N66">
        <v>7.0698538434283517E-2</v>
      </c>
      <c r="O66">
        <v>20.923333333333332</v>
      </c>
      <c r="P66">
        <v>7.1533333333333333</v>
      </c>
      <c r="Q66" s="27">
        <v>2.550683601650352</v>
      </c>
      <c r="R66" s="27">
        <v>1.5808838485425134</v>
      </c>
      <c r="S66" s="27">
        <v>344.40199999999999</v>
      </c>
      <c r="T66" s="27">
        <v>468.19400000000002</v>
      </c>
      <c r="U66" s="27">
        <v>526.04499999999996</v>
      </c>
      <c r="V66" s="27">
        <v>578.63099999999997</v>
      </c>
      <c r="W66" s="27">
        <v>561.01400000000001</v>
      </c>
      <c r="X66" s="27">
        <v>553.74199999999996</v>
      </c>
      <c r="Y66" s="27">
        <v>534.45699999999999</v>
      </c>
      <c r="Z66" s="27">
        <v>651.33399999999995</v>
      </c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>
        <f t="shared" ref="AZ66:AZ129" si="3">MONTH(BD66)</f>
        <v>6</v>
      </c>
      <c r="BA66">
        <f t="shared" ref="BA66:BA129" si="4">DAY(BD66)</f>
        <v>13</v>
      </c>
      <c r="BB66">
        <f t="shared" ref="BB66:BB129" si="5">YEAR(BD66)</f>
        <v>2024</v>
      </c>
      <c r="BD66" s="19">
        <v>45456</v>
      </c>
    </row>
    <row r="67" spans="1:56" x14ac:dyDescent="0.25">
      <c r="A67" s="25">
        <v>10332</v>
      </c>
      <c r="B67" t="s">
        <v>351</v>
      </c>
      <c r="C67" t="s">
        <v>351</v>
      </c>
      <c r="D67" s="27" t="s">
        <v>485</v>
      </c>
      <c r="E67" s="27">
        <v>1</v>
      </c>
      <c r="F67" s="56"/>
      <c r="G67">
        <v>5210</v>
      </c>
      <c r="H67" t="s">
        <v>19</v>
      </c>
      <c r="I67" t="s">
        <v>8</v>
      </c>
      <c r="J67">
        <v>-0.50549999999999995</v>
      </c>
      <c r="K67">
        <v>2.69</v>
      </c>
      <c r="L67">
        <v>0</v>
      </c>
      <c r="N67" t="s">
        <v>509</v>
      </c>
      <c r="O67">
        <v>21.396666666666665</v>
      </c>
      <c r="P67">
        <v>34.28</v>
      </c>
      <c r="Q67">
        <v>4.0348349308017797</v>
      </c>
      <c r="R67">
        <v>1.2316319118547236</v>
      </c>
      <c r="S67">
        <v>112.55800000000001</v>
      </c>
      <c r="T67">
        <v>180.52799999999999</v>
      </c>
      <c r="U67">
        <v>283.322</v>
      </c>
      <c r="V67">
        <v>318.19299999999998</v>
      </c>
      <c r="W67">
        <v>252.18600000000001</v>
      </c>
      <c r="X67">
        <v>256.13600000000002</v>
      </c>
      <c r="Y67">
        <v>313.32600000000002</v>
      </c>
      <c r="Z67">
        <v>344.08199999999999</v>
      </c>
      <c r="AA67">
        <v>0.55100000000000005</v>
      </c>
      <c r="AB67">
        <v>742</v>
      </c>
      <c r="AC67">
        <v>390.1</v>
      </c>
      <c r="AD67">
        <v>388.4</v>
      </c>
      <c r="AE67">
        <v>252</v>
      </c>
      <c r="AF67">
        <v>0.19</v>
      </c>
      <c r="AG67">
        <v>388.2</v>
      </c>
      <c r="AH67">
        <v>0.54500000000000004</v>
      </c>
      <c r="AI67">
        <v>0.78200000000000003</v>
      </c>
      <c r="AJ67">
        <v>150.19999999999999</v>
      </c>
      <c r="AK67">
        <v>12.35</v>
      </c>
      <c r="AL67">
        <v>153.5</v>
      </c>
      <c r="AM67">
        <v>40.772480000000002</v>
      </c>
      <c r="AN67">
        <v>-85.644649999999999</v>
      </c>
      <c r="AO67">
        <v>231.6</v>
      </c>
      <c r="AP67">
        <v>110.9</v>
      </c>
      <c r="AQ67">
        <v>8.7100000000000009</v>
      </c>
      <c r="AR67">
        <v>-123.2</v>
      </c>
      <c r="AS67">
        <v>11.9</v>
      </c>
      <c r="AT67">
        <v>0</v>
      </c>
      <c r="AU67">
        <v>25.224</v>
      </c>
      <c r="AV67">
        <v>4.1500000000000004</v>
      </c>
      <c r="AW67">
        <v>0</v>
      </c>
      <c r="AX67">
        <v>-85.645051519999996</v>
      </c>
      <c r="AY67">
        <v>40.772296269999998</v>
      </c>
      <c r="AZ67">
        <f t="shared" si="3"/>
        <v>6</v>
      </c>
      <c r="BA67">
        <f t="shared" si="4"/>
        <v>17</v>
      </c>
      <c r="BB67">
        <f t="shared" si="5"/>
        <v>2024</v>
      </c>
      <c r="BD67" s="19">
        <v>45460</v>
      </c>
    </row>
    <row r="68" spans="1:56" x14ac:dyDescent="0.25">
      <c r="A68" s="25">
        <v>10333</v>
      </c>
      <c r="B68" t="s">
        <v>352</v>
      </c>
      <c r="C68" t="s">
        <v>352</v>
      </c>
      <c r="D68" s="27" t="s">
        <v>486</v>
      </c>
      <c r="E68" s="27">
        <v>2</v>
      </c>
      <c r="F68" s="56"/>
      <c r="G68">
        <v>5430</v>
      </c>
      <c r="H68" t="s">
        <v>19</v>
      </c>
      <c r="I68" t="s">
        <v>8</v>
      </c>
      <c r="J68">
        <v>-0.50839999999999996</v>
      </c>
      <c r="K68">
        <v>2.5840000000000001</v>
      </c>
      <c r="L68">
        <v>3.0000000000000001E-3</v>
      </c>
      <c r="M68">
        <v>0.05</v>
      </c>
      <c r="N68" t="s">
        <v>509</v>
      </c>
      <c r="O68">
        <v>22.366666666666664</v>
      </c>
      <c r="P68">
        <v>39.643333333333338</v>
      </c>
      <c r="Q68">
        <v>3.8877329642927911</v>
      </c>
      <c r="R68">
        <v>1.7955984492960622</v>
      </c>
      <c r="S68">
        <v>110.89</v>
      </c>
      <c r="T68">
        <v>184.827</v>
      </c>
      <c r="U68">
        <v>287.98</v>
      </c>
      <c r="V68">
        <v>324.04399999999998</v>
      </c>
      <c r="W68">
        <v>260.47500000000002</v>
      </c>
      <c r="X68">
        <v>269.303</v>
      </c>
      <c r="Y68">
        <v>320.33</v>
      </c>
      <c r="Z68">
        <v>374.83100000000002</v>
      </c>
      <c r="AA68">
        <v>0.49099999999999999</v>
      </c>
      <c r="AB68">
        <v>742.1</v>
      </c>
      <c r="AC68">
        <v>390.7</v>
      </c>
      <c r="AD68">
        <v>390.8</v>
      </c>
      <c r="AE68">
        <v>254</v>
      </c>
      <c r="AF68">
        <v>0.19</v>
      </c>
      <c r="AG68">
        <v>390.8</v>
      </c>
      <c r="AH68">
        <v>0.499</v>
      </c>
      <c r="AI68">
        <v>0.69699999999999995</v>
      </c>
      <c r="AJ68">
        <v>144.69999999999999</v>
      </c>
      <c r="AK68">
        <v>11.95</v>
      </c>
      <c r="AL68">
        <v>147.9</v>
      </c>
      <c r="AM68">
        <v>40.770980000000002</v>
      </c>
      <c r="AN68">
        <v>-85.647040000000004</v>
      </c>
      <c r="AO68">
        <v>231.3</v>
      </c>
      <c r="AP68">
        <v>127.8</v>
      </c>
      <c r="AQ68">
        <v>8.65</v>
      </c>
      <c r="AR68">
        <v>-119.6</v>
      </c>
      <c r="AS68">
        <v>12</v>
      </c>
      <c r="AT68">
        <v>0</v>
      </c>
      <c r="AU68">
        <v>24.984000000000002</v>
      </c>
      <c r="AV68">
        <v>3.64</v>
      </c>
      <c r="AW68">
        <v>0</v>
      </c>
      <c r="AX68">
        <v>-85.647150420000003</v>
      </c>
      <c r="AY68">
        <v>40.770774430000003</v>
      </c>
      <c r="AZ68">
        <f t="shared" si="3"/>
        <v>6</v>
      </c>
      <c r="BA68">
        <f t="shared" si="4"/>
        <v>17</v>
      </c>
      <c r="BB68">
        <f t="shared" si="5"/>
        <v>2024</v>
      </c>
      <c r="BD68" s="19">
        <v>45460</v>
      </c>
    </row>
    <row r="69" spans="1:56" x14ac:dyDescent="0.25">
      <c r="A69" s="25">
        <v>10334</v>
      </c>
      <c r="B69" t="s">
        <v>353</v>
      </c>
      <c r="C69" t="s">
        <v>353</v>
      </c>
      <c r="D69" s="27" t="s">
        <v>487</v>
      </c>
      <c r="E69" s="27">
        <v>3</v>
      </c>
      <c r="F69" s="56"/>
      <c r="G69">
        <v>4180</v>
      </c>
      <c r="H69" t="s">
        <v>19</v>
      </c>
      <c r="I69" t="s">
        <v>8</v>
      </c>
      <c r="J69">
        <v>-0.49759999999999999</v>
      </c>
      <c r="K69">
        <v>2.7090000000000001</v>
      </c>
      <c r="L69">
        <v>3.0000000000000001E-3</v>
      </c>
      <c r="M69">
        <v>0.05</v>
      </c>
      <c r="N69" t="s">
        <v>509</v>
      </c>
      <c r="O69">
        <v>24.166666666666668</v>
      </c>
      <c r="P69">
        <v>42.086666666666666</v>
      </c>
      <c r="Q69">
        <v>4.0156025182193327</v>
      </c>
      <c r="R69">
        <v>1.8400791675168335</v>
      </c>
      <c r="S69">
        <v>123.29300000000001</v>
      </c>
      <c r="T69">
        <v>196.36099999999999</v>
      </c>
      <c r="U69">
        <v>290.76400000000001</v>
      </c>
      <c r="V69">
        <v>322.27499999999998</v>
      </c>
      <c r="W69">
        <v>260.733</v>
      </c>
      <c r="X69">
        <v>268.637</v>
      </c>
      <c r="Y69">
        <v>301.08100000000002</v>
      </c>
      <c r="Z69">
        <v>325.85399999999998</v>
      </c>
      <c r="AA69">
        <v>0.50600000000000001</v>
      </c>
      <c r="AB69">
        <v>742</v>
      </c>
      <c r="AC69">
        <v>397.8</v>
      </c>
      <c r="AD69">
        <v>396</v>
      </c>
      <c r="AE69">
        <v>257</v>
      </c>
      <c r="AF69">
        <v>0.19</v>
      </c>
      <c r="AG69">
        <v>395.8</v>
      </c>
      <c r="AH69">
        <v>0.51800000000000002</v>
      </c>
      <c r="AI69">
        <v>0.71799999999999997</v>
      </c>
      <c r="AJ69">
        <v>139.4</v>
      </c>
      <c r="AK69">
        <v>11.45</v>
      </c>
      <c r="AL69">
        <v>142.4</v>
      </c>
      <c r="AM69">
        <v>40.781190000000002</v>
      </c>
      <c r="AN69">
        <v>-85.646339999999995</v>
      </c>
      <c r="AO69">
        <v>227</v>
      </c>
      <c r="AP69">
        <v>125.5</v>
      </c>
      <c r="AQ69">
        <v>8.64</v>
      </c>
      <c r="AR69">
        <v>-119.2</v>
      </c>
      <c r="AS69">
        <v>12</v>
      </c>
      <c r="AT69">
        <v>0</v>
      </c>
      <c r="AU69">
        <v>25.23</v>
      </c>
      <c r="AV69">
        <v>3.54</v>
      </c>
      <c r="AW69">
        <v>0</v>
      </c>
      <c r="AX69">
        <v>-85.646588960000003</v>
      </c>
      <c r="AY69">
        <v>40.781075420000001</v>
      </c>
      <c r="AZ69">
        <f t="shared" si="3"/>
        <v>6</v>
      </c>
      <c r="BA69">
        <f t="shared" si="4"/>
        <v>17</v>
      </c>
      <c r="BB69">
        <f t="shared" si="5"/>
        <v>2024</v>
      </c>
      <c r="BD69" s="19">
        <v>45460</v>
      </c>
    </row>
    <row r="70" spans="1:56" x14ac:dyDescent="0.25">
      <c r="A70" s="25">
        <v>10335</v>
      </c>
      <c r="B70" t="s">
        <v>354</v>
      </c>
      <c r="C70" t="s">
        <v>354</v>
      </c>
      <c r="D70" s="27" t="s">
        <v>488</v>
      </c>
      <c r="E70" s="27">
        <v>4</v>
      </c>
      <c r="F70" s="56"/>
      <c r="G70">
        <v>4980</v>
      </c>
      <c r="H70" t="s">
        <v>19</v>
      </c>
      <c r="I70" t="s">
        <v>8</v>
      </c>
      <c r="J70">
        <v>-0.50060000000000004</v>
      </c>
      <c r="K70">
        <v>2.4249999999999998</v>
      </c>
      <c r="L70">
        <v>3.0000000000000001E-3</v>
      </c>
      <c r="N70" t="s">
        <v>509</v>
      </c>
      <c r="O70">
        <v>54.156666666666666</v>
      </c>
      <c r="P70">
        <v>88.8</v>
      </c>
      <c r="Q70">
        <v>4.013003543546029</v>
      </c>
      <c r="R70">
        <v>1.7688692103652319</v>
      </c>
      <c r="S70">
        <v>168.18600000000001</v>
      </c>
      <c r="T70">
        <v>248.94800000000001</v>
      </c>
      <c r="U70">
        <v>360.66199999999998</v>
      </c>
      <c r="V70">
        <v>400.16300000000001</v>
      </c>
      <c r="W70">
        <v>335.245</v>
      </c>
      <c r="X70">
        <v>339.67500000000001</v>
      </c>
      <c r="Y70">
        <v>384.82799999999997</v>
      </c>
      <c r="Z70">
        <v>427.875</v>
      </c>
      <c r="AA70">
        <v>0.48599999999999999</v>
      </c>
      <c r="AB70">
        <v>742</v>
      </c>
      <c r="AC70">
        <v>410.5</v>
      </c>
      <c r="AD70">
        <v>402</v>
      </c>
      <c r="AE70">
        <v>261</v>
      </c>
      <c r="AF70">
        <v>0.19</v>
      </c>
      <c r="AG70">
        <v>401.1</v>
      </c>
      <c r="AH70">
        <v>0.47</v>
      </c>
      <c r="AI70">
        <v>0.68899999999999995</v>
      </c>
      <c r="AJ70">
        <v>155</v>
      </c>
      <c r="AK70">
        <v>12.54</v>
      </c>
      <c r="AL70">
        <v>158.4</v>
      </c>
      <c r="AM70">
        <v>40.784190000000002</v>
      </c>
      <c r="AN70">
        <v>-85.638540000000006</v>
      </c>
      <c r="AO70">
        <v>230.5</v>
      </c>
      <c r="AP70">
        <v>77.599999999999994</v>
      </c>
      <c r="AQ70">
        <v>8.6300000000000008</v>
      </c>
      <c r="AR70">
        <v>-119</v>
      </c>
      <c r="AS70">
        <v>11.9</v>
      </c>
      <c r="AT70">
        <v>0</v>
      </c>
      <c r="AU70">
        <v>26.113</v>
      </c>
      <c r="AV70">
        <v>6.27</v>
      </c>
      <c r="AW70">
        <v>0</v>
      </c>
      <c r="AX70">
        <v>-85.638733939999995</v>
      </c>
      <c r="AY70">
        <v>40.783930470000001</v>
      </c>
      <c r="AZ70">
        <f t="shared" si="3"/>
        <v>6</v>
      </c>
      <c r="BA70">
        <f t="shared" si="4"/>
        <v>17</v>
      </c>
      <c r="BB70">
        <f t="shared" si="5"/>
        <v>2024</v>
      </c>
      <c r="BD70" s="19">
        <v>45460</v>
      </c>
    </row>
    <row r="71" spans="1:56" x14ac:dyDescent="0.25">
      <c r="A71" s="25">
        <v>10336</v>
      </c>
      <c r="B71" t="s">
        <v>355</v>
      </c>
      <c r="C71" t="s">
        <v>355</v>
      </c>
      <c r="D71" s="27" t="s">
        <v>489</v>
      </c>
      <c r="E71" s="27">
        <v>5</v>
      </c>
      <c r="G71">
        <v>6340</v>
      </c>
      <c r="H71" t="s">
        <v>19</v>
      </c>
      <c r="I71" t="s">
        <v>8</v>
      </c>
      <c r="J71">
        <v>-0.49890000000000001</v>
      </c>
      <c r="K71">
        <v>2.64</v>
      </c>
      <c r="L71">
        <v>1E-3</v>
      </c>
      <c r="M71">
        <v>0.05</v>
      </c>
      <c r="N71">
        <v>0.13574505906711387</v>
      </c>
      <c r="O71">
        <v>18.95</v>
      </c>
      <c r="P71">
        <v>37.286666666666669</v>
      </c>
      <c r="Q71">
        <v>4.0208004675659392</v>
      </c>
      <c r="R71">
        <v>1.7758065700877372</v>
      </c>
      <c r="S71">
        <v>138.16200000000001</v>
      </c>
      <c r="T71">
        <v>227.06399999999999</v>
      </c>
      <c r="U71">
        <v>348.70499999999998</v>
      </c>
      <c r="V71">
        <v>388.99700000000001</v>
      </c>
      <c r="W71">
        <v>317.06599999999997</v>
      </c>
      <c r="X71">
        <v>301.03500000000003</v>
      </c>
      <c r="Y71">
        <v>362.44900000000001</v>
      </c>
      <c r="Z71">
        <v>369.137</v>
      </c>
      <c r="AA71">
        <v>0.55000000000000004</v>
      </c>
      <c r="AB71">
        <v>741.8</v>
      </c>
      <c r="AC71">
        <v>419.5</v>
      </c>
      <c r="AD71">
        <v>408.2</v>
      </c>
      <c r="AE71">
        <v>265</v>
      </c>
      <c r="AF71">
        <v>0.19</v>
      </c>
      <c r="AG71">
        <v>407</v>
      </c>
      <c r="AH71">
        <v>0.56399999999999995</v>
      </c>
      <c r="AI71">
        <v>0.78</v>
      </c>
      <c r="AJ71">
        <v>161.19999999999999</v>
      </c>
      <c r="AK71">
        <v>12.96</v>
      </c>
      <c r="AL71">
        <v>164.8</v>
      </c>
      <c r="AM71">
        <v>40.774479999999997</v>
      </c>
      <c r="AN71">
        <v>-85.623850000000004</v>
      </c>
      <c r="AO71">
        <v>230.3</v>
      </c>
      <c r="AP71">
        <v>104.8</v>
      </c>
      <c r="AQ71">
        <v>8.58</v>
      </c>
      <c r="AR71">
        <v>-115.9</v>
      </c>
      <c r="AS71">
        <v>11.9</v>
      </c>
      <c r="AT71">
        <v>0</v>
      </c>
      <c r="AU71">
        <v>26.452999999999999</v>
      </c>
      <c r="AV71">
        <v>5.19</v>
      </c>
      <c r="AW71">
        <v>0</v>
      </c>
      <c r="AX71">
        <v>-85.624036320000002</v>
      </c>
      <c r="AY71">
        <v>40.774560219999998</v>
      </c>
      <c r="AZ71">
        <f t="shared" si="3"/>
        <v>6</v>
      </c>
      <c r="BA71">
        <f t="shared" si="4"/>
        <v>17</v>
      </c>
      <c r="BB71">
        <f t="shared" si="5"/>
        <v>2024</v>
      </c>
      <c r="BD71" s="19">
        <v>45460</v>
      </c>
    </row>
    <row r="72" spans="1:56" x14ac:dyDescent="0.25">
      <c r="A72" s="25">
        <v>10337</v>
      </c>
      <c r="B72" t="s">
        <v>356</v>
      </c>
      <c r="C72" t="s">
        <v>356</v>
      </c>
      <c r="D72" s="27" t="s">
        <v>490</v>
      </c>
      <c r="E72" s="27">
        <v>6</v>
      </c>
      <c r="G72">
        <v>7900</v>
      </c>
      <c r="H72" t="s">
        <v>19</v>
      </c>
      <c r="I72" t="s">
        <v>8</v>
      </c>
      <c r="J72">
        <v>-0.50249999999999995</v>
      </c>
      <c r="K72">
        <v>2.3239999999999998</v>
      </c>
      <c r="L72">
        <v>3.0000000000000001E-3</v>
      </c>
      <c r="N72">
        <v>0.14968364274386892</v>
      </c>
      <c r="O72">
        <v>27.733333333333334</v>
      </c>
      <c r="P72">
        <v>50.906666666666666</v>
      </c>
      <c r="Q72">
        <v>3.8570650631478074</v>
      </c>
      <c r="R72">
        <v>1.6295098959396044</v>
      </c>
      <c r="S72">
        <v>139.14400000000001</v>
      </c>
      <c r="T72">
        <v>233.828</v>
      </c>
      <c r="U72">
        <v>362.209</v>
      </c>
      <c r="V72">
        <v>399.42399999999998</v>
      </c>
      <c r="W72">
        <v>315.661</v>
      </c>
      <c r="X72">
        <v>304.00400000000002</v>
      </c>
      <c r="Y72">
        <v>358.58300000000003</v>
      </c>
      <c r="Z72">
        <v>351.25400000000002</v>
      </c>
      <c r="AA72">
        <v>0.53400000000000003</v>
      </c>
      <c r="AB72">
        <v>741.7</v>
      </c>
      <c r="AC72">
        <v>422.8</v>
      </c>
      <c r="AD72">
        <v>415.9</v>
      </c>
      <c r="AE72">
        <v>270</v>
      </c>
      <c r="AF72">
        <v>0.2</v>
      </c>
      <c r="AG72">
        <v>415.1</v>
      </c>
      <c r="AH72">
        <v>0.54700000000000004</v>
      </c>
      <c r="AI72">
        <v>0.75700000000000001</v>
      </c>
      <c r="AJ72">
        <v>151.6</v>
      </c>
      <c r="AK72">
        <v>12.31</v>
      </c>
      <c r="AL72">
        <v>154.9</v>
      </c>
      <c r="AM72">
        <v>40.774990000000003</v>
      </c>
      <c r="AN72">
        <v>-85.605840000000001</v>
      </c>
      <c r="AO72">
        <v>232.3</v>
      </c>
      <c r="AP72">
        <v>47.8</v>
      </c>
      <c r="AQ72">
        <v>8.5299999999999994</v>
      </c>
      <c r="AR72">
        <v>-112.8</v>
      </c>
      <c r="AS72">
        <v>11.9</v>
      </c>
      <c r="AT72">
        <v>0</v>
      </c>
      <c r="AU72">
        <v>25.875</v>
      </c>
      <c r="AV72">
        <v>5.54</v>
      </c>
      <c r="AW72">
        <v>0</v>
      </c>
      <c r="AX72">
        <v>-85.606134130000001</v>
      </c>
      <c r="AY72">
        <v>40.77494488</v>
      </c>
      <c r="AZ72">
        <f t="shared" si="3"/>
        <v>6</v>
      </c>
      <c r="BA72">
        <f t="shared" si="4"/>
        <v>17</v>
      </c>
      <c r="BB72">
        <f t="shared" si="5"/>
        <v>2024</v>
      </c>
      <c r="BD72" s="19">
        <v>45460</v>
      </c>
    </row>
    <row r="73" spans="1:56" x14ac:dyDescent="0.25">
      <c r="A73" s="25">
        <v>10338</v>
      </c>
      <c r="B73" t="s">
        <v>357</v>
      </c>
      <c r="C73" t="s">
        <v>357</v>
      </c>
      <c r="D73" s="27" t="s">
        <v>491</v>
      </c>
      <c r="E73" s="27">
        <v>7</v>
      </c>
      <c r="G73">
        <v>10610</v>
      </c>
      <c r="H73" t="s">
        <v>19</v>
      </c>
      <c r="I73" t="s">
        <v>8</v>
      </c>
      <c r="J73">
        <v>-0.50439999999999996</v>
      </c>
      <c r="K73">
        <v>2.6219999999999999</v>
      </c>
      <c r="L73">
        <v>1E-3</v>
      </c>
      <c r="N73">
        <v>0.15423945029774655</v>
      </c>
      <c r="O73">
        <v>52.906666666666666</v>
      </c>
      <c r="P73">
        <v>80.483333333333334</v>
      </c>
      <c r="Q73">
        <v>4.1107249912622477</v>
      </c>
      <c r="R73">
        <v>1.7747863701285453</v>
      </c>
      <c r="S73">
        <v>140.69200000000001</v>
      </c>
      <c r="T73">
        <v>223.869</v>
      </c>
      <c r="U73">
        <v>350.80599999999998</v>
      </c>
      <c r="V73">
        <v>382.93099999999998</v>
      </c>
      <c r="W73">
        <v>310.10300000000001</v>
      </c>
      <c r="X73">
        <v>299.54500000000002</v>
      </c>
      <c r="Y73">
        <v>363.40199999999999</v>
      </c>
      <c r="Z73">
        <v>377.55200000000002</v>
      </c>
      <c r="AA73">
        <v>0.51400000000000001</v>
      </c>
      <c r="AB73">
        <v>741.3</v>
      </c>
      <c r="AC73">
        <v>418.4</v>
      </c>
      <c r="AD73">
        <v>408.6</v>
      </c>
      <c r="AE73">
        <v>266</v>
      </c>
      <c r="AF73">
        <v>0.19</v>
      </c>
      <c r="AG73">
        <v>407.6</v>
      </c>
      <c r="AH73">
        <v>0.52900000000000003</v>
      </c>
      <c r="AI73">
        <v>0.72799999999999998</v>
      </c>
      <c r="AJ73">
        <v>167.3</v>
      </c>
      <c r="AK73">
        <v>13.5</v>
      </c>
      <c r="AL73">
        <v>171</v>
      </c>
      <c r="AM73">
        <v>40.775939999999999</v>
      </c>
      <c r="AN73">
        <v>-85.583340000000007</v>
      </c>
      <c r="AO73">
        <v>231.3</v>
      </c>
      <c r="AP73">
        <v>109.8</v>
      </c>
      <c r="AQ73">
        <v>8.6199999999999992</v>
      </c>
      <c r="AR73">
        <v>-118.5</v>
      </c>
      <c r="AS73">
        <v>11.9</v>
      </c>
      <c r="AT73">
        <v>0</v>
      </c>
      <c r="AU73">
        <v>26.251000000000001</v>
      </c>
      <c r="AV73">
        <v>6.63</v>
      </c>
      <c r="AW73">
        <v>0</v>
      </c>
      <c r="AX73">
        <v>-85.580525960000003</v>
      </c>
      <c r="AY73">
        <v>40.775568530000001</v>
      </c>
      <c r="AZ73">
        <f t="shared" si="3"/>
        <v>6</v>
      </c>
      <c r="BA73">
        <f t="shared" si="4"/>
        <v>17</v>
      </c>
      <c r="BB73">
        <f t="shared" si="5"/>
        <v>2024</v>
      </c>
      <c r="BD73" s="19">
        <v>45460</v>
      </c>
    </row>
    <row r="74" spans="1:56" x14ac:dyDescent="0.25">
      <c r="A74" s="25">
        <v>10339</v>
      </c>
      <c r="B74" t="s">
        <v>358</v>
      </c>
      <c r="C74" t="s">
        <v>358</v>
      </c>
      <c r="D74" s="27" t="s">
        <v>492</v>
      </c>
      <c r="E74" s="27">
        <v>8</v>
      </c>
      <c r="G74">
        <v>9370</v>
      </c>
      <c r="H74" t="s">
        <v>19</v>
      </c>
      <c r="I74" t="s">
        <v>8</v>
      </c>
      <c r="J74">
        <v>-0.50609999999999999</v>
      </c>
      <c r="K74">
        <v>2.7610000000000001</v>
      </c>
      <c r="L74">
        <v>1E-3</v>
      </c>
      <c r="M74">
        <v>0.05</v>
      </c>
      <c r="N74">
        <v>0.14422491778307095</v>
      </c>
      <c r="O74">
        <v>39.9</v>
      </c>
      <c r="P74">
        <v>56.639999999999993</v>
      </c>
      <c r="Q74">
        <v>4.0467902142989765</v>
      </c>
      <c r="R74">
        <v>1.7974348092226076</v>
      </c>
      <c r="S74">
        <v>160.17699999999999</v>
      </c>
      <c r="T74">
        <v>252.11500000000001</v>
      </c>
      <c r="U74">
        <v>385.44799999999998</v>
      </c>
      <c r="V74">
        <v>426.904</v>
      </c>
      <c r="W74">
        <v>353.09300000000002</v>
      </c>
      <c r="X74">
        <v>340.12200000000001</v>
      </c>
      <c r="Y74">
        <v>384.98700000000002</v>
      </c>
      <c r="Z74">
        <v>358.10899999999998</v>
      </c>
      <c r="AA74">
        <v>0.54400000000000004</v>
      </c>
      <c r="AB74">
        <v>741.3</v>
      </c>
      <c r="AC74">
        <v>426</v>
      </c>
      <c r="AD74">
        <v>424.6</v>
      </c>
      <c r="AE74">
        <v>276</v>
      </c>
      <c r="AF74">
        <v>0.2</v>
      </c>
      <c r="AG74">
        <v>424.5</v>
      </c>
      <c r="AH74">
        <v>0.53100000000000003</v>
      </c>
      <c r="AI74">
        <v>0.77100000000000002</v>
      </c>
      <c r="AJ74">
        <v>142.4</v>
      </c>
      <c r="AK74">
        <v>11.72</v>
      </c>
      <c r="AL74">
        <v>145.5</v>
      </c>
      <c r="AM74">
        <v>40.76699</v>
      </c>
      <c r="AN74">
        <v>-85.596670000000003</v>
      </c>
      <c r="AO74">
        <v>232.7</v>
      </c>
      <c r="AP74">
        <v>113.9</v>
      </c>
      <c r="AQ74">
        <v>8.5</v>
      </c>
      <c r="AR74">
        <v>-111.1</v>
      </c>
      <c r="AS74">
        <v>11.9</v>
      </c>
      <c r="AT74">
        <v>0</v>
      </c>
      <c r="AU74">
        <v>25.175999999999998</v>
      </c>
      <c r="AV74">
        <v>6.09</v>
      </c>
      <c r="AW74">
        <v>0</v>
      </c>
      <c r="AX74">
        <v>-85.596868459999996</v>
      </c>
      <c r="AY74">
        <v>40.766858499999998</v>
      </c>
      <c r="AZ74">
        <f t="shared" si="3"/>
        <v>6</v>
      </c>
      <c r="BA74">
        <f t="shared" si="4"/>
        <v>17</v>
      </c>
      <c r="BB74">
        <f t="shared" si="5"/>
        <v>2024</v>
      </c>
      <c r="BD74" s="19">
        <v>45460</v>
      </c>
    </row>
    <row r="75" spans="1:56" x14ac:dyDescent="0.25">
      <c r="A75" s="25">
        <v>10340</v>
      </c>
      <c r="B75" t="s">
        <v>359</v>
      </c>
      <c r="C75" t="s">
        <v>359</v>
      </c>
      <c r="D75" s="27" t="s">
        <v>493</v>
      </c>
      <c r="E75" s="27">
        <v>9</v>
      </c>
      <c r="G75">
        <v>10331</v>
      </c>
      <c r="H75" t="s">
        <v>19</v>
      </c>
      <c r="I75" t="s">
        <v>8</v>
      </c>
      <c r="J75">
        <v>-0.5101</v>
      </c>
      <c r="K75">
        <v>2.7090000000000001</v>
      </c>
      <c r="L75">
        <v>2E-3</v>
      </c>
      <c r="N75">
        <v>0.20272207257542854</v>
      </c>
      <c r="O75">
        <v>37.856666666666669</v>
      </c>
      <c r="P75">
        <v>40.183333333333337</v>
      </c>
      <c r="Q75">
        <v>4.1881744365266975</v>
      </c>
      <c r="R75">
        <v>1.8376306876147726</v>
      </c>
      <c r="S75">
        <v>116.95</v>
      </c>
      <c r="T75">
        <v>221.41800000000001</v>
      </c>
      <c r="U75">
        <v>362.25599999999997</v>
      </c>
      <c r="V75">
        <v>400.464</v>
      </c>
      <c r="W75">
        <v>317.30900000000003</v>
      </c>
      <c r="X75">
        <v>286.166</v>
      </c>
      <c r="Y75">
        <v>377.68900000000002</v>
      </c>
      <c r="Z75">
        <v>350.67599999999999</v>
      </c>
      <c r="AA75">
        <v>0.504</v>
      </c>
      <c r="AB75">
        <v>741.2</v>
      </c>
      <c r="AC75">
        <v>431.2</v>
      </c>
      <c r="AD75">
        <v>429</v>
      </c>
      <c r="AE75">
        <v>279</v>
      </c>
      <c r="AF75">
        <v>0.2</v>
      </c>
      <c r="AG75">
        <v>428.8</v>
      </c>
      <c r="AH75">
        <v>0.497</v>
      </c>
      <c r="AI75">
        <v>0.71499999999999997</v>
      </c>
      <c r="AJ75">
        <v>154.5</v>
      </c>
      <c r="AK75">
        <v>12.69</v>
      </c>
      <c r="AL75">
        <v>157.9</v>
      </c>
      <c r="AM75">
        <v>40.757219999999997</v>
      </c>
      <c r="AN75">
        <v>-85.59469</v>
      </c>
      <c r="AO75">
        <v>231</v>
      </c>
      <c r="AP75">
        <v>113.6</v>
      </c>
      <c r="AQ75">
        <v>8.5500000000000007</v>
      </c>
      <c r="AR75">
        <v>-113.7</v>
      </c>
      <c r="AS75">
        <v>11.9</v>
      </c>
      <c r="AT75">
        <v>0</v>
      </c>
      <c r="AU75">
        <v>25.268999999999998</v>
      </c>
      <c r="AV75">
        <v>6.22</v>
      </c>
      <c r="AW75">
        <v>0</v>
      </c>
      <c r="AX75">
        <v>-85.594853409999999</v>
      </c>
      <c r="AY75">
        <v>40.757165809999996</v>
      </c>
      <c r="AZ75">
        <f t="shared" si="3"/>
        <v>6</v>
      </c>
      <c r="BA75">
        <f t="shared" si="4"/>
        <v>17</v>
      </c>
      <c r="BB75">
        <f t="shared" si="5"/>
        <v>2024</v>
      </c>
      <c r="BD75" s="19">
        <v>45460</v>
      </c>
    </row>
    <row r="76" spans="1:56" x14ac:dyDescent="0.25">
      <c r="A76" s="25">
        <v>10341</v>
      </c>
      <c r="B76" t="s">
        <v>360</v>
      </c>
      <c r="C76" t="s">
        <v>360</v>
      </c>
      <c r="D76" s="27" t="s">
        <v>494</v>
      </c>
      <c r="E76" s="27">
        <v>10</v>
      </c>
      <c r="G76">
        <v>11270</v>
      </c>
      <c r="H76" t="s">
        <v>19</v>
      </c>
      <c r="I76" t="s">
        <v>8</v>
      </c>
      <c r="J76">
        <v>-0.50129999999999997</v>
      </c>
      <c r="K76">
        <v>2.77</v>
      </c>
      <c r="L76">
        <v>2E-3</v>
      </c>
      <c r="N76">
        <v>0.22173503371726239</v>
      </c>
      <c r="O76">
        <v>28.836666666666662</v>
      </c>
      <c r="P76">
        <v>40.206666666666663</v>
      </c>
      <c r="Q76">
        <v>4.0285973915858513</v>
      </c>
      <c r="R76">
        <v>1.8559942868802288</v>
      </c>
      <c r="S76">
        <v>174.18899999999999</v>
      </c>
      <c r="T76">
        <v>271.92700000000002</v>
      </c>
      <c r="U76">
        <v>411.334</v>
      </c>
      <c r="V76">
        <v>462.46600000000001</v>
      </c>
      <c r="W76">
        <v>395.29</v>
      </c>
      <c r="X76">
        <v>371.87400000000002</v>
      </c>
      <c r="Y76">
        <v>454.53899999999999</v>
      </c>
      <c r="Z76">
        <v>438.97800000000001</v>
      </c>
      <c r="AA76">
        <v>0.59299999999999997</v>
      </c>
      <c r="AB76">
        <v>741.1</v>
      </c>
      <c r="AC76">
        <v>455.5</v>
      </c>
      <c r="AD76">
        <v>442.9</v>
      </c>
      <c r="AE76">
        <v>288</v>
      </c>
      <c r="AF76">
        <v>0.21</v>
      </c>
      <c r="AG76">
        <v>441.6</v>
      </c>
      <c r="AH76">
        <v>0.60799999999999998</v>
      </c>
      <c r="AI76">
        <v>0.84099999999999997</v>
      </c>
      <c r="AJ76">
        <v>156.4</v>
      </c>
      <c r="AK76">
        <v>12.56</v>
      </c>
      <c r="AL76">
        <v>159.80000000000001</v>
      </c>
      <c r="AM76">
        <v>40.756059999999998</v>
      </c>
      <c r="AN76">
        <v>-85.582740000000001</v>
      </c>
      <c r="AO76">
        <v>232.7</v>
      </c>
      <c r="AP76">
        <v>104.9</v>
      </c>
      <c r="AQ76">
        <v>8.5</v>
      </c>
      <c r="AR76">
        <v>-111.5</v>
      </c>
      <c r="AS76">
        <v>11.9</v>
      </c>
      <c r="AT76">
        <v>0</v>
      </c>
      <c r="AU76">
        <v>26.495000000000001</v>
      </c>
      <c r="AV76">
        <v>5.2</v>
      </c>
      <c r="AW76">
        <v>0</v>
      </c>
      <c r="AX76">
        <v>-85.582874129999993</v>
      </c>
      <c r="AY76">
        <v>40.755891669999997</v>
      </c>
      <c r="AZ76">
        <f t="shared" si="3"/>
        <v>6</v>
      </c>
      <c r="BA76">
        <f t="shared" si="4"/>
        <v>17</v>
      </c>
      <c r="BB76">
        <f t="shared" si="5"/>
        <v>2024</v>
      </c>
      <c r="BD76" s="19">
        <v>45460</v>
      </c>
    </row>
    <row r="77" spans="1:56" x14ac:dyDescent="0.25">
      <c r="A77" s="25">
        <v>10342</v>
      </c>
      <c r="B77" t="s">
        <v>361</v>
      </c>
      <c r="C77" t="s">
        <v>361</v>
      </c>
      <c r="D77" s="27" t="s">
        <v>495</v>
      </c>
      <c r="E77" s="27">
        <v>13</v>
      </c>
      <c r="G77">
        <v>5180</v>
      </c>
      <c r="H77" t="s">
        <v>19</v>
      </c>
      <c r="I77" t="s">
        <v>8</v>
      </c>
      <c r="J77">
        <v>-0.50209999999999999</v>
      </c>
      <c r="K77">
        <v>2.5950000000000002</v>
      </c>
      <c r="L77">
        <v>1E-3</v>
      </c>
      <c r="N77">
        <v>0.19989054292111763</v>
      </c>
      <c r="O77">
        <v>29.03</v>
      </c>
      <c r="P77">
        <v>50.213333333333338</v>
      </c>
      <c r="Q77">
        <v>4.0701809863587091</v>
      </c>
      <c r="R77">
        <v>1.8025358090185679</v>
      </c>
      <c r="S77">
        <v>162.97399999999999</v>
      </c>
      <c r="T77">
        <v>238.49799999999999</v>
      </c>
      <c r="U77">
        <v>346.79199999999997</v>
      </c>
      <c r="V77">
        <v>391.70800000000003</v>
      </c>
      <c r="W77">
        <v>322.06700000000001</v>
      </c>
      <c r="X77">
        <v>325.572</v>
      </c>
      <c r="Y77">
        <v>357.91800000000001</v>
      </c>
      <c r="Z77">
        <v>380.07600000000002</v>
      </c>
      <c r="AA77">
        <v>0.53800000000000003</v>
      </c>
      <c r="AB77">
        <v>742</v>
      </c>
      <c r="AC77">
        <v>412.8</v>
      </c>
      <c r="AD77">
        <v>408.3</v>
      </c>
      <c r="AE77">
        <v>265</v>
      </c>
      <c r="AF77">
        <v>0.19</v>
      </c>
      <c r="AG77">
        <v>407.8</v>
      </c>
      <c r="AH77">
        <v>0.53900000000000003</v>
      </c>
      <c r="AI77">
        <v>0.76300000000000001</v>
      </c>
      <c r="AJ77">
        <v>143.4</v>
      </c>
      <c r="AK77">
        <v>11.72</v>
      </c>
      <c r="AL77">
        <v>146.6</v>
      </c>
      <c r="AM77">
        <v>40.781210000000002</v>
      </c>
      <c r="AN77">
        <v>-85.637320000000003</v>
      </c>
      <c r="AO77">
        <v>230.6</v>
      </c>
      <c r="AP77">
        <v>100.9</v>
      </c>
      <c r="AQ77">
        <v>8.58</v>
      </c>
      <c r="AR77">
        <v>-115.8</v>
      </c>
      <c r="AS77">
        <v>12</v>
      </c>
      <c r="AT77">
        <v>0</v>
      </c>
      <c r="AU77">
        <v>25.582000000000001</v>
      </c>
      <c r="AV77">
        <v>5.86</v>
      </c>
      <c r="AW77">
        <v>0</v>
      </c>
      <c r="AX77">
        <v>-85.637500149999994</v>
      </c>
      <c r="AY77">
        <v>40.781062970000001</v>
      </c>
      <c r="AZ77">
        <f t="shared" si="3"/>
        <v>6</v>
      </c>
      <c r="BA77">
        <f t="shared" si="4"/>
        <v>17</v>
      </c>
      <c r="BB77">
        <f t="shared" si="5"/>
        <v>2024</v>
      </c>
      <c r="BD77" s="19">
        <v>45460</v>
      </c>
    </row>
    <row r="78" spans="1:56" x14ac:dyDescent="0.25">
      <c r="A78" s="25">
        <v>10343</v>
      </c>
      <c r="B78" t="s">
        <v>362</v>
      </c>
      <c r="C78" t="s">
        <v>362</v>
      </c>
      <c r="D78" s="27" t="s">
        <v>496</v>
      </c>
      <c r="E78" s="27">
        <v>14</v>
      </c>
      <c r="F78" s="21">
        <v>15</v>
      </c>
      <c r="G78">
        <v>1683</v>
      </c>
      <c r="H78" t="s">
        <v>19</v>
      </c>
      <c r="I78" t="s">
        <v>8</v>
      </c>
      <c r="J78">
        <v>-0.68030000000000002</v>
      </c>
      <c r="K78">
        <v>2.6680000000000001</v>
      </c>
      <c r="L78">
        <v>1E-3</v>
      </c>
      <c r="M78">
        <v>0.05</v>
      </c>
      <c r="N78">
        <v>0.16155635043878247</v>
      </c>
      <c r="O78">
        <v>22.33</v>
      </c>
      <c r="P78">
        <v>36.4</v>
      </c>
      <c r="Q78">
        <v>4.0426318548216909</v>
      </c>
      <c r="R78">
        <v>1.784784329728627</v>
      </c>
      <c r="S78">
        <v>178.905</v>
      </c>
      <c r="T78">
        <v>255.88300000000001</v>
      </c>
      <c r="U78">
        <v>382.01100000000002</v>
      </c>
      <c r="V78">
        <v>433.83699999999999</v>
      </c>
      <c r="W78">
        <v>372.70100000000002</v>
      </c>
      <c r="X78">
        <v>364.00700000000001</v>
      </c>
      <c r="Y78">
        <v>436.33800000000002</v>
      </c>
      <c r="Z78">
        <v>460.01</v>
      </c>
      <c r="AA78">
        <v>0.50700000000000001</v>
      </c>
      <c r="AB78">
        <v>740.6</v>
      </c>
      <c r="AC78">
        <v>399.4</v>
      </c>
      <c r="AD78">
        <v>382.4</v>
      </c>
      <c r="AE78">
        <v>249</v>
      </c>
      <c r="AF78">
        <v>0.18</v>
      </c>
      <c r="AG78">
        <v>380.5</v>
      </c>
      <c r="AH78">
        <v>0.495</v>
      </c>
      <c r="AI78">
        <v>0.71899999999999997</v>
      </c>
      <c r="AJ78">
        <v>173.6</v>
      </c>
      <c r="AK78">
        <v>13.74</v>
      </c>
      <c r="AL78">
        <v>177.5</v>
      </c>
      <c r="AM78">
        <v>40.805529999999997</v>
      </c>
      <c r="AN78">
        <v>-85.671099999999996</v>
      </c>
      <c r="AO78">
        <v>231.3</v>
      </c>
      <c r="AP78">
        <v>94.8</v>
      </c>
      <c r="AQ78">
        <v>8.86</v>
      </c>
      <c r="AR78">
        <v>-133.19999999999999</v>
      </c>
      <c r="AS78">
        <v>11.9</v>
      </c>
      <c r="AT78">
        <v>0</v>
      </c>
      <c r="AU78">
        <v>27.334</v>
      </c>
      <c r="AV78">
        <v>5.73</v>
      </c>
      <c r="AW78">
        <v>0</v>
      </c>
      <c r="AX78">
        <v>-85.667890909999997</v>
      </c>
      <c r="AY78">
        <v>40.8002343</v>
      </c>
      <c r="AZ78">
        <f t="shared" si="3"/>
        <v>6</v>
      </c>
      <c r="BA78">
        <f t="shared" si="4"/>
        <v>17</v>
      </c>
      <c r="BB78">
        <f t="shared" si="5"/>
        <v>2024</v>
      </c>
      <c r="BD78" s="19">
        <v>45460</v>
      </c>
    </row>
    <row r="79" spans="1:56" x14ac:dyDescent="0.25">
      <c r="A79" s="25">
        <v>10344</v>
      </c>
      <c r="B79" s="72" t="s">
        <v>363</v>
      </c>
      <c r="C79" s="36" t="s">
        <v>363</v>
      </c>
      <c r="D79" s="37" t="s">
        <v>498</v>
      </c>
      <c r="E79" s="37">
        <v>5</v>
      </c>
      <c r="F79" s="36"/>
      <c r="G79">
        <v>6425</v>
      </c>
      <c r="H79" s="36" t="s">
        <v>18</v>
      </c>
      <c r="I79" s="36" t="s">
        <v>8</v>
      </c>
      <c r="J79">
        <v>1.72E-2</v>
      </c>
      <c r="K79">
        <v>2.165</v>
      </c>
      <c r="L79">
        <v>-3.5999999999999997E-2</v>
      </c>
      <c r="N79" s="41">
        <v>0.15</v>
      </c>
      <c r="O79">
        <v>43.443333333333328</v>
      </c>
      <c r="P79">
        <v>51.446666666666665</v>
      </c>
      <c r="Q79" s="27">
        <v>2.4212442359032442</v>
      </c>
      <c r="R79" s="27">
        <v>1.5296298281287231</v>
      </c>
      <c r="S79" s="27">
        <v>322.27100000000002</v>
      </c>
      <c r="T79" s="27">
        <v>355.54300000000001</v>
      </c>
      <c r="U79" s="27">
        <v>453.83699999999999</v>
      </c>
      <c r="V79" s="27">
        <v>487.54500000000002</v>
      </c>
      <c r="W79" s="27">
        <v>449.93200000000002</v>
      </c>
      <c r="X79" s="27">
        <v>371.03699999999998</v>
      </c>
      <c r="Y79" s="27">
        <v>452.99900000000002</v>
      </c>
      <c r="Z79" s="27">
        <v>613.93600000000004</v>
      </c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>
        <f t="shared" si="3"/>
        <v>6</v>
      </c>
      <c r="BA79">
        <f t="shared" si="4"/>
        <v>19</v>
      </c>
      <c r="BB79">
        <f t="shared" si="5"/>
        <v>2024</v>
      </c>
      <c r="BD79" s="19">
        <v>45462</v>
      </c>
    </row>
    <row r="80" spans="1:56" x14ac:dyDescent="0.25">
      <c r="A80" s="25">
        <v>10345</v>
      </c>
      <c r="B80" s="72" t="s">
        <v>364</v>
      </c>
      <c r="C80" s="117" t="s">
        <v>364</v>
      </c>
      <c r="D80" s="118" t="s">
        <v>477</v>
      </c>
      <c r="E80" s="118">
        <v>6</v>
      </c>
      <c r="F80" s="117"/>
      <c r="G80">
        <v>8245</v>
      </c>
      <c r="H80" s="117" t="s">
        <v>18</v>
      </c>
      <c r="I80" s="117" t="s">
        <v>8</v>
      </c>
      <c r="J80" s="67">
        <v>1.3299999999999999E-2</v>
      </c>
      <c r="K80" s="67">
        <v>1.6659999999999999</v>
      </c>
      <c r="L80" s="67">
        <v>-0.04</v>
      </c>
      <c r="N80">
        <v>0.15971973526009681</v>
      </c>
      <c r="O80">
        <v>1.2</v>
      </c>
      <c r="P80">
        <v>2.4</v>
      </c>
      <c r="Q80" s="27">
        <v>3.023609200981582</v>
      </c>
      <c r="R80" s="27">
        <v>1.5035992429579399</v>
      </c>
      <c r="S80" s="27">
        <v>286.17399999999998</v>
      </c>
      <c r="T80" s="27">
        <v>308.53800000000001</v>
      </c>
      <c r="U80" s="27">
        <v>371.97399999999999</v>
      </c>
      <c r="V80" s="27">
        <v>403.58100000000002</v>
      </c>
      <c r="W80" s="27">
        <v>375.58300000000003</v>
      </c>
      <c r="X80" s="27">
        <v>327.52</v>
      </c>
      <c r="Y80" s="27">
        <v>369.08</v>
      </c>
      <c r="Z80" s="27">
        <v>592.63099999999997</v>
      </c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  <c r="AZ80">
        <f t="shared" si="3"/>
        <v>6</v>
      </c>
      <c r="BA80">
        <f t="shared" si="4"/>
        <v>19</v>
      </c>
      <c r="BB80">
        <f t="shared" si="5"/>
        <v>2024</v>
      </c>
      <c r="BD80" s="19">
        <v>45462</v>
      </c>
    </row>
    <row r="81" spans="1:56" x14ac:dyDescent="0.25">
      <c r="A81" s="25">
        <v>10346</v>
      </c>
      <c r="B81" t="s">
        <v>365</v>
      </c>
      <c r="C81" t="s">
        <v>365</v>
      </c>
      <c r="D81" s="27" t="s">
        <v>478</v>
      </c>
      <c r="E81" s="27">
        <v>8</v>
      </c>
      <c r="G81">
        <v>5065</v>
      </c>
      <c r="H81" t="s">
        <v>18</v>
      </c>
      <c r="I81" t="s">
        <v>8</v>
      </c>
      <c r="J81">
        <v>3.4700000000000002E-2</v>
      </c>
      <c r="K81">
        <v>3.7410000000000001</v>
      </c>
      <c r="L81">
        <v>0.18</v>
      </c>
      <c r="M81">
        <v>0.05</v>
      </c>
      <c r="N81" s="41">
        <v>0.15</v>
      </c>
      <c r="O81">
        <v>8.6766666666666676</v>
      </c>
      <c r="P81">
        <v>8.7033333333333331</v>
      </c>
      <c r="Q81" s="27">
        <v>273.70289620580854</v>
      </c>
      <c r="R81" s="27">
        <v>1.9477334907168073</v>
      </c>
      <c r="S81" s="27">
        <v>340.17399999999998</v>
      </c>
      <c r="T81" s="27">
        <v>355.04300000000001</v>
      </c>
      <c r="U81" s="27">
        <v>423.65199999999999</v>
      </c>
      <c r="V81" s="27">
        <v>453.06400000000002</v>
      </c>
      <c r="W81" s="27">
        <v>434.43400000000003</v>
      </c>
      <c r="X81" s="27">
        <v>373.113</v>
      </c>
      <c r="Y81" s="27">
        <v>412.786</v>
      </c>
      <c r="Z81" s="27">
        <v>605.15899999999999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>
        <f t="shared" si="3"/>
        <v>6</v>
      </c>
      <c r="BA81">
        <f t="shared" si="4"/>
        <v>19</v>
      </c>
      <c r="BB81">
        <f t="shared" si="5"/>
        <v>2024</v>
      </c>
      <c r="BD81" s="19">
        <v>45462</v>
      </c>
    </row>
    <row r="82" spans="1:56" x14ac:dyDescent="0.25">
      <c r="A82" s="25">
        <v>10347</v>
      </c>
      <c r="B82" t="s">
        <v>366</v>
      </c>
      <c r="C82" t="s">
        <v>366</v>
      </c>
      <c r="D82" s="27" t="s">
        <v>479</v>
      </c>
      <c r="E82" s="27">
        <v>9</v>
      </c>
      <c r="G82">
        <v>3385</v>
      </c>
      <c r="H82" t="s">
        <v>18</v>
      </c>
      <c r="I82" t="s">
        <v>8</v>
      </c>
      <c r="J82">
        <v>1.3899999999999999E-2</v>
      </c>
      <c r="K82">
        <v>4.3650000000000002</v>
      </c>
      <c r="L82">
        <v>0.26900000000000002</v>
      </c>
      <c r="M82">
        <v>0.05</v>
      </c>
      <c r="N82">
        <v>0.10903253941265602</v>
      </c>
      <c r="O82">
        <v>53.930000000000007</v>
      </c>
      <c r="P82">
        <v>45.326666666666661</v>
      </c>
      <c r="Q82" s="27">
        <v>3.9445163552031932</v>
      </c>
      <c r="R82" s="27">
        <v>2.43141808493671</v>
      </c>
      <c r="S82" s="27">
        <v>221.56700000000001</v>
      </c>
      <c r="T82" s="27">
        <v>246.489</v>
      </c>
      <c r="U82" s="27">
        <v>342.25099999999998</v>
      </c>
      <c r="V82" s="27">
        <v>364.71600000000001</v>
      </c>
      <c r="W82" s="27">
        <v>362.69600000000003</v>
      </c>
      <c r="X82" s="27">
        <v>296.84800000000001</v>
      </c>
      <c r="Y82" s="27">
        <v>420.71600000000001</v>
      </c>
      <c r="Z82" s="27">
        <v>673.75099999999998</v>
      </c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  <c r="AZ82">
        <f t="shared" si="3"/>
        <v>6</v>
      </c>
      <c r="BA82">
        <f t="shared" si="4"/>
        <v>19</v>
      </c>
      <c r="BB82">
        <f t="shared" si="5"/>
        <v>2024</v>
      </c>
      <c r="BD82" s="19">
        <v>45462</v>
      </c>
    </row>
    <row r="83" spans="1:56" x14ac:dyDescent="0.25">
      <c r="A83" s="25">
        <v>10348</v>
      </c>
      <c r="B83" t="s">
        <v>367</v>
      </c>
      <c r="C83" t="s">
        <v>367</v>
      </c>
      <c r="D83" s="27" t="s">
        <v>480</v>
      </c>
      <c r="E83" s="27">
        <v>10</v>
      </c>
      <c r="G83">
        <v>2205</v>
      </c>
      <c r="H83" t="s">
        <v>18</v>
      </c>
      <c r="I83" t="s">
        <v>8</v>
      </c>
      <c r="J83">
        <v>9.9000000000000008E-3</v>
      </c>
      <c r="K83">
        <v>3.8980000000000001</v>
      </c>
      <c r="L83">
        <v>0.16</v>
      </c>
      <c r="M83">
        <v>0.05</v>
      </c>
      <c r="N83" s="41">
        <v>0.15</v>
      </c>
      <c r="O83">
        <v>24.013333333333335</v>
      </c>
      <c r="P83">
        <v>23.296666666666667</v>
      </c>
      <c r="Q83" s="27">
        <v>2.9460804142059707</v>
      </c>
      <c r="R83" s="27">
        <v>2.3858141140173532</v>
      </c>
      <c r="S83" s="27">
        <v>319.88900000000001</v>
      </c>
      <c r="T83" s="27">
        <v>337.9</v>
      </c>
      <c r="U83" s="27">
        <v>416.94499999999999</v>
      </c>
      <c r="V83" s="27">
        <v>439.49700000000001</v>
      </c>
      <c r="W83" s="27">
        <v>414.428</v>
      </c>
      <c r="X83" s="27">
        <v>342.34699999999998</v>
      </c>
      <c r="Y83" s="27">
        <v>426.29500000000002</v>
      </c>
      <c r="Z83" s="27">
        <v>507.589</v>
      </c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>
        <f t="shared" si="3"/>
        <v>6</v>
      </c>
      <c r="BA83">
        <f t="shared" si="4"/>
        <v>19</v>
      </c>
      <c r="BB83">
        <f t="shared" si="5"/>
        <v>2024</v>
      </c>
      <c r="BD83" s="19">
        <v>45462</v>
      </c>
    </row>
    <row r="84" spans="1:56" x14ac:dyDescent="0.25">
      <c r="A84" s="25">
        <v>10349</v>
      </c>
      <c r="B84" t="s">
        <v>368</v>
      </c>
      <c r="C84" t="s">
        <v>368</v>
      </c>
      <c r="D84" s="27" t="s">
        <v>481</v>
      </c>
      <c r="E84" s="27">
        <v>11</v>
      </c>
      <c r="G84">
        <v>1385</v>
      </c>
      <c r="H84" t="s">
        <v>18</v>
      </c>
      <c r="I84" t="s">
        <v>8</v>
      </c>
      <c r="J84">
        <v>1.9300000000000001E-2</v>
      </c>
      <c r="K84">
        <v>4.9690000000000003</v>
      </c>
      <c r="L84">
        <v>0.19900000000000001</v>
      </c>
      <c r="N84">
        <v>0.17163431638319676</v>
      </c>
      <c r="O84">
        <v>56.913333333333334</v>
      </c>
      <c r="P84">
        <v>43.74</v>
      </c>
      <c r="Q84" s="27">
        <v>3.0077663619448263</v>
      </c>
      <c r="R84" s="27">
        <v>2.6487432029904578</v>
      </c>
      <c r="S84" s="27">
        <v>340.09699999999998</v>
      </c>
      <c r="T84" s="27">
        <v>359.08</v>
      </c>
      <c r="U84" s="27">
        <v>442.93299999999999</v>
      </c>
      <c r="V84" s="27">
        <v>454.95100000000002</v>
      </c>
      <c r="W84" s="27">
        <v>439.089</v>
      </c>
      <c r="X84" s="27">
        <v>366.67399999999998</v>
      </c>
      <c r="Y84" s="27">
        <v>462.30200000000002</v>
      </c>
      <c r="Z84" s="27">
        <v>573.62099999999998</v>
      </c>
      <c r="AA84" s="27">
        <v>0.42</v>
      </c>
      <c r="AB84" s="27">
        <v>749.4</v>
      </c>
      <c r="AC84" s="27">
        <v>727.8</v>
      </c>
      <c r="AD84" s="27">
        <v>704.9</v>
      </c>
      <c r="AE84" s="27">
        <v>458</v>
      </c>
      <c r="AF84" s="27">
        <v>0.34</v>
      </c>
      <c r="AG84" s="27">
        <v>702.5</v>
      </c>
      <c r="AH84" s="27">
        <v>0.42899999999999999</v>
      </c>
      <c r="AI84" s="27">
        <v>0.59499999999999997</v>
      </c>
      <c r="AJ84" s="27">
        <v>160</v>
      </c>
      <c r="AK84" s="27">
        <v>12.79</v>
      </c>
      <c r="AL84" s="27">
        <v>162.4</v>
      </c>
      <c r="AM84" s="27">
        <v>40.788730000000001</v>
      </c>
      <c r="AN84" s="27">
        <v>-86.772199999999998</v>
      </c>
      <c r="AO84" s="27">
        <v>196.7</v>
      </c>
      <c r="AP84" s="27">
        <v>173.4</v>
      </c>
      <c r="AQ84" s="27">
        <v>8.07</v>
      </c>
      <c r="AR84" s="27">
        <v>-84.5</v>
      </c>
      <c r="AS84" s="27">
        <v>11.9</v>
      </c>
      <c r="AT84" s="27">
        <v>0</v>
      </c>
      <c r="AU84" s="27">
        <v>26.696999999999999</v>
      </c>
      <c r="AV84" s="27">
        <v>4.4800000000000004</v>
      </c>
      <c r="AW84" s="27">
        <v>0</v>
      </c>
      <c r="AX84" s="27">
        <v>-86.772130180000005</v>
      </c>
      <c r="AY84" s="27">
        <v>40.78862204</v>
      </c>
      <c r="AZ84">
        <f t="shared" si="3"/>
        <v>6</v>
      </c>
      <c r="BA84">
        <f t="shared" si="4"/>
        <v>19</v>
      </c>
      <c r="BB84">
        <f t="shared" si="5"/>
        <v>2024</v>
      </c>
      <c r="BD84" s="19">
        <v>45462</v>
      </c>
    </row>
    <row r="85" spans="1:56" x14ac:dyDescent="0.25">
      <c r="A85" s="25">
        <v>10350</v>
      </c>
      <c r="B85" t="s">
        <v>369</v>
      </c>
      <c r="C85" t="s">
        <v>369</v>
      </c>
      <c r="D85" s="27" t="s">
        <v>482</v>
      </c>
      <c r="E85" s="27">
        <v>12</v>
      </c>
      <c r="G85">
        <v>275</v>
      </c>
      <c r="H85" t="s">
        <v>18</v>
      </c>
      <c r="I85" t="s">
        <v>8</v>
      </c>
      <c r="J85">
        <v>1.7000000000000001E-2</v>
      </c>
      <c r="K85">
        <v>4.9409999999999998</v>
      </c>
      <c r="L85">
        <v>0.17</v>
      </c>
      <c r="N85" s="41">
        <v>0.15</v>
      </c>
      <c r="O85">
        <v>37.576666666666668</v>
      </c>
      <c r="P85">
        <v>33.163333333333334</v>
      </c>
      <c r="Q85" s="27">
        <v>3.2802969015451828</v>
      </c>
      <c r="R85" s="27">
        <v>2.8910899688052698</v>
      </c>
      <c r="S85" s="27">
        <v>323.005</v>
      </c>
      <c r="T85" s="27">
        <v>328.56900000000002</v>
      </c>
      <c r="U85" s="27">
        <v>407.60199999999998</v>
      </c>
      <c r="V85" s="27">
        <v>419.44900000000001</v>
      </c>
      <c r="W85" s="27">
        <v>400.233</v>
      </c>
      <c r="X85" s="27">
        <v>341.28699999999998</v>
      </c>
      <c r="Y85" s="27">
        <v>410.142</v>
      </c>
      <c r="Z85" s="27">
        <v>550.86599999999999</v>
      </c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>
        <f t="shared" si="3"/>
        <v>6</v>
      </c>
      <c r="BA85">
        <f t="shared" si="4"/>
        <v>19</v>
      </c>
      <c r="BB85">
        <f t="shared" si="5"/>
        <v>2024</v>
      </c>
      <c r="BD85" s="19">
        <v>45462</v>
      </c>
    </row>
    <row r="86" spans="1:56" x14ac:dyDescent="0.25">
      <c r="A86" s="25">
        <v>10351</v>
      </c>
      <c r="B86" t="s">
        <v>370</v>
      </c>
      <c r="C86" t="s">
        <v>370</v>
      </c>
      <c r="D86" s="27" t="s">
        <v>483</v>
      </c>
      <c r="E86" s="27">
        <v>14</v>
      </c>
      <c r="G86">
        <v>4225</v>
      </c>
      <c r="H86" t="s">
        <v>18</v>
      </c>
      <c r="I86" t="s">
        <v>8</v>
      </c>
      <c r="J86">
        <v>6.4000000000000003E-3</v>
      </c>
      <c r="K86">
        <v>3.512</v>
      </c>
      <c r="L86">
        <v>0.16300000000000001</v>
      </c>
      <c r="N86" s="41">
        <v>0.15</v>
      </c>
      <c r="O86">
        <v>7.6566666666666663</v>
      </c>
      <c r="P86">
        <v>9.3433333333333319</v>
      </c>
      <c r="Q86" s="27">
        <v>2.593661516058571</v>
      </c>
      <c r="R86" s="27">
        <v>2.0619452054971434</v>
      </c>
      <c r="S86" s="27">
        <v>477.18599999999998</v>
      </c>
      <c r="T86" s="27">
        <v>598.553</v>
      </c>
      <c r="U86" s="27">
        <v>675.47500000000002</v>
      </c>
      <c r="V86" s="27">
        <v>704.99599999999998</v>
      </c>
      <c r="W86" s="27">
        <v>683.63900000000001</v>
      </c>
      <c r="X86" s="27">
        <v>670.85799999999995</v>
      </c>
      <c r="Y86" s="27">
        <v>682.29</v>
      </c>
      <c r="Z86" s="27">
        <v>905.94</v>
      </c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  <c r="AZ86">
        <f t="shared" si="3"/>
        <v>6</v>
      </c>
      <c r="BA86">
        <f t="shared" si="4"/>
        <v>19</v>
      </c>
      <c r="BB86">
        <f t="shared" si="5"/>
        <v>2024</v>
      </c>
      <c r="BD86" s="19">
        <v>45462</v>
      </c>
    </row>
    <row r="87" spans="1:56" x14ac:dyDescent="0.25">
      <c r="A87" s="25">
        <v>10352</v>
      </c>
      <c r="B87" t="s">
        <v>371</v>
      </c>
      <c r="C87" t="s">
        <v>371</v>
      </c>
      <c r="D87" s="27" t="s">
        <v>484</v>
      </c>
      <c r="E87" s="27">
        <v>15</v>
      </c>
      <c r="G87">
        <v>2905</v>
      </c>
      <c r="H87" t="s">
        <v>18</v>
      </c>
      <c r="I87" t="s">
        <v>8</v>
      </c>
      <c r="J87">
        <v>1.6199999999999999E-2</v>
      </c>
      <c r="K87">
        <v>3.94</v>
      </c>
      <c r="L87">
        <v>0.17399999999999999</v>
      </c>
      <c r="M87">
        <v>0.05</v>
      </c>
      <c r="N87">
        <v>6.9118739914141705E-2</v>
      </c>
      <c r="O87">
        <v>24.076666666666668</v>
      </c>
      <c r="P87">
        <v>17.256666666666664</v>
      </c>
      <c r="Q87" s="27">
        <v>2.7220896367607796</v>
      </c>
      <c r="R87" s="27">
        <v>1.4878652003658219</v>
      </c>
      <c r="S87" s="27">
        <v>338.35199999999998</v>
      </c>
      <c r="T87" s="27">
        <v>330.27100000000002</v>
      </c>
      <c r="U87" s="27">
        <v>409.71300000000002</v>
      </c>
      <c r="V87" s="27">
        <v>427.154</v>
      </c>
      <c r="W87" s="27">
        <v>400.78699999999998</v>
      </c>
      <c r="X87" s="27">
        <v>320.90199999999999</v>
      </c>
      <c r="Y87" s="27">
        <v>410.96</v>
      </c>
      <c r="Z87" s="27">
        <v>566.68299999999999</v>
      </c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>
        <f t="shared" si="3"/>
        <v>6</v>
      </c>
      <c r="BA87">
        <f t="shared" si="4"/>
        <v>19</v>
      </c>
      <c r="BB87">
        <f t="shared" si="5"/>
        <v>2024</v>
      </c>
      <c r="BD87" s="19">
        <v>45462</v>
      </c>
    </row>
    <row r="88" spans="1:56" x14ac:dyDescent="0.25">
      <c r="A88" s="25">
        <v>10353</v>
      </c>
      <c r="B88" t="s">
        <v>372</v>
      </c>
      <c r="C88" t="s">
        <v>372</v>
      </c>
      <c r="D88" s="27" t="s">
        <v>456</v>
      </c>
      <c r="E88" s="27">
        <v>1</v>
      </c>
      <c r="F88" s="56"/>
      <c r="G88">
        <v>5999</v>
      </c>
      <c r="H88" t="s">
        <v>17</v>
      </c>
      <c r="I88" t="s">
        <v>8</v>
      </c>
      <c r="J88">
        <v>2.0999999999999999E-3</v>
      </c>
      <c r="K88">
        <v>1.645</v>
      </c>
      <c r="L88">
        <v>-4.0000000000000001E-3</v>
      </c>
      <c r="M88">
        <v>0.05</v>
      </c>
      <c r="N88">
        <v>1.0502766978045142</v>
      </c>
      <c r="O88">
        <v>14.796666666666667</v>
      </c>
      <c r="P88">
        <v>25.053333333333331</v>
      </c>
      <c r="Q88">
        <v>2.7166349765021502</v>
      </c>
      <c r="R88">
        <v>1.233876351764946</v>
      </c>
      <c r="S88">
        <v>363.755</v>
      </c>
      <c r="T88">
        <v>588.27499999999998</v>
      </c>
      <c r="U88">
        <v>659.43</v>
      </c>
      <c r="V88">
        <v>710.71100000000001</v>
      </c>
      <c r="W88">
        <v>636.56799999999998</v>
      </c>
      <c r="X88">
        <v>651.62099999999998</v>
      </c>
      <c r="Y88">
        <v>610.67499999999995</v>
      </c>
      <c r="Z88">
        <v>701.59299999999996</v>
      </c>
      <c r="AA88">
        <v>0.52700000000000002</v>
      </c>
      <c r="AB88">
        <v>741</v>
      </c>
      <c r="AC88">
        <v>448.6</v>
      </c>
      <c r="AD88">
        <v>422.4</v>
      </c>
      <c r="AE88">
        <v>275</v>
      </c>
      <c r="AF88">
        <v>0.2</v>
      </c>
      <c r="AG88">
        <v>419.6</v>
      </c>
      <c r="AH88">
        <v>0.53600000000000003</v>
      </c>
      <c r="AI88">
        <v>0.747</v>
      </c>
      <c r="AJ88">
        <v>124.4</v>
      </c>
      <c r="AK88">
        <v>9.69</v>
      </c>
      <c r="AL88">
        <v>127.4</v>
      </c>
      <c r="AM88">
        <v>40.681600000000003</v>
      </c>
      <c r="AN88">
        <v>-85.888850000000005</v>
      </c>
      <c r="AO88">
        <v>224.2</v>
      </c>
      <c r="AP88">
        <v>118</v>
      </c>
      <c r="AQ88">
        <v>8.4600000000000009</v>
      </c>
      <c r="AR88">
        <v>-108.5</v>
      </c>
      <c r="AS88">
        <v>11.9</v>
      </c>
      <c r="AT88">
        <v>0</v>
      </c>
      <c r="AU88">
        <v>28.245000000000001</v>
      </c>
      <c r="AV88">
        <v>4.21</v>
      </c>
      <c r="AW88">
        <v>0</v>
      </c>
      <c r="AX88">
        <v>-85.88874079</v>
      </c>
      <c r="AY88">
        <v>40.681483559999997</v>
      </c>
      <c r="AZ88">
        <f t="shared" si="3"/>
        <v>6</v>
      </c>
      <c r="BA88">
        <f t="shared" si="4"/>
        <v>24</v>
      </c>
      <c r="BB88">
        <f t="shared" si="5"/>
        <v>2024</v>
      </c>
      <c r="BD88" s="19">
        <v>45467</v>
      </c>
    </row>
    <row r="89" spans="1:56" x14ac:dyDescent="0.25">
      <c r="A89" s="25">
        <v>10354</v>
      </c>
      <c r="B89" t="s">
        <v>373</v>
      </c>
      <c r="C89" t="s">
        <v>373</v>
      </c>
      <c r="D89" s="27" t="s">
        <v>457</v>
      </c>
      <c r="E89" s="27">
        <v>2</v>
      </c>
      <c r="F89" s="56"/>
      <c r="G89">
        <v>8861</v>
      </c>
      <c r="H89" t="s">
        <v>17</v>
      </c>
      <c r="I89" t="s">
        <v>8</v>
      </c>
      <c r="J89">
        <v>-2E-3</v>
      </c>
      <c r="K89">
        <v>1.724</v>
      </c>
      <c r="L89">
        <v>-5.0000000000000001E-3</v>
      </c>
      <c r="N89">
        <v>0.3084440650235159</v>
      </c>
      <c r="O89">
        <v>19.43</v>
      </c>
      <c r="P89">
        <v>29.52</v>
      </c>
      <c r="Q89">
        <v>2.885048535332229</v>
      </c>
      <c r="R89">
        <v>1.3285509079779638</v>
      </c>
      <c r="S89">
        <v>346.37099999999998</v>
      </c>
      <c r="T89">
        <v>590.43100000000004</v>
      </c>
      <c r="U89">
        <v>651.89499999999998</v>
      </c>
      <c r="V89">
        <v>712.74</v>
      </c>
      <c r="W89">
        <v>612.32500000000005</v>
      </c>
      <c r="X89">
        <v>647.29600000000005</v>
      </c>
      <c r="Y89">
        <v>600.03599999999994</v>
      </c>
      <c r="Z89">
        <v>839.17700000000002</v>
      </c>
      <c r="AA89">
        <v>0.53300000000000003</v>
      </c>
      <c r="AB89">
        <v>741</v>
      </c>
      <c r="AC89">
        <v>448.7</v>
      </c>
      <c r="AD89">
        <v>426.4</v>
      </c>
      <c r="AE89">
        <v>277</v>
      </c>
      <c r="AF89">
        <v>0.2</v>
      </c>
      <c r="AG89">
        <v>423.9</v>
      </c>
      <c r="AH89">
        <v>0.56699999999999995</v>
      </c>
      <c r="AI89">
        <v>0.755</v>
      </c>
      <c r="AJ89">
        <v>128.9</v>
      </c>
      <c r="AK89">
        <v>10.130000000000001</v>
      </c>
      <c r="AL89">
        <v>132</v>
      </c>
      <c r="AM89">
        <v>40.676940000000002</v>
      </c>
      <c r="AN89">
        <v>-85.876990000000006</v>
      </c>
      <c r="AO89">
        <v>222.9</v>
      </c>
      <c r="AP89">
        <v>112.6</v>
      </c>
      <c r="AQ89">
        <v>8.4700000000000006</v>
      </c>
      <c r="AR89">
        <v>-109.3</v>
      </c>
      <c r="AS89">
        <v>12</v>
      </c>
      <c r="AT89">
        <v>0</v>
      </c>
      <c r="AU89">
        <v>27.745999999999999</v>
      </c>
      <c r="AV89">
        <v>5.64</v>
      </c>
      <c r="AW89">
        <v>0</v>
      </c>
      <c r="AX89">
        <v>-85.877136289999996</v>
      </c>
      <c r="AY89">
        <v>40.676955960000001</v>
      </c>
      <c r="AZ89">
        <f t="shared" si="3"/>
        <v>6</v>
      </c>
      <c r="BA89">
        <f t="shared" si="4"/>
        <v>24</v>
      </c>
      <c r="BB89">
        <f t="shared" si="5"/>
        <v>2024</v>
      </c>
      <c r="BD89" s="19">
        <v>45467</v>
      </c>
    </row>
    <row r="90" spans="1:56" x14ac:dyDescent="0.25">
      <c r="A90" s="25">
        <v>10355</v>
      </c>
      <c r="B90" t="s">
        <v>374</v>
      </c>
      <c r="C90" t="s">
        <v>374</v>
      </c>
      <c r="D90" s="27" t="s">
        <v>458</v>
      </c>
      <c r="E90" s="27">
        <v>3</v>
      </c>
      <c r="F90" s="56"/>
      <c r="G90">
        <v>9921</v>
      </c>
      <c r="H90" t="s">
        <v>17</v>
      </c>
      <c r="I90" t="s">
        <v>8</v>
      </c>
      <c r="J90">
        <v>-3.8E-3</v>
      </c>
      <c r="K90">
        <v>1.7</v>
      </c>
      <c r="L90">
        <v>-4.0000000000000001E-3</v>
      </c>
      <c r="M90">
        <v>0.05</v>
      </c>
      <c r="N90">
        <v>0.60303791707909904</v>
      </c>
      <c r="O90">
        <v>31.136666666666667</v>
      </c>
      <c r="P90">
        <v>41.246666666666663</v>
      </c>
      <c r="Q90">
        <v>2.785767702812028</v>
      </c>
      <c r="R90">
        <v>1.315900428483983</v>
      </c>
      <c r="S90">
        <v>158.31200000000001</v>
      </c>
      <c r="T90">
        <v>192.28700000000001</v>
      </c>
      <c r="U90">
        <v>306.947</v>
      </c>
      <c r="V90">
        <v>372.69600000000003</v>
      </c>
      <c r="W90">
        <v>294.52100000000002</v>
      </c>
      <c r="X90">
        <v>224.48099999999999</v>
      </c>
      <c r="Y90">
        <v>265.28100000000001</v>
      </c>
      <c r="Z90">
        <v>314.197</v>
      </c>
      <c r="AA90">
        <v>0.59299999999999997</v>
      </c>
      <c r="AB90">
        <v>741.1</v>
      </c>
      <c r="AC90">
        <v>464.9</v>
      </c>
      <c r="AD90">
        <v>440.6</v>
      </c>
      <c r="AE90">
        <v>286</v>
      </c>
      <c r="AF90">
        <v>0.21</v>
      </c>
      <c r="AG90">
        <v>437.9</v>
      </c>
      <c r="AH90">
        <v>0.59399999999999997</v>
      </c>
      <c r="AI90">
        <v>0.84</v>
      </c>
      <c r="AJ90">
        <v>143</v>
      </c>
      <c r="AK90">
        <v>11.2</v>
      </c>
      <c r="AL90">
        <v>146.4</v>
      </c>
      <c r="AM90">
        <v>40.670490000000001</v>
      </c>
      <c r="AN90">
        <v>-85.870149999999995</v>
      </c>
      <c r="AO90">
        <v>224.9</v>
      </c>
      <c r="AP90">
        <v>112.6</v>
      </c>
      <c r="AQ90">
        <v>8.5399999999999991</v>
      </c>
      <c r="AR90">
        <v>-113.1</v>
      </c>
      <c r="AS90">
        <v>12</v>
      </c>
      <c r="AT90">
        <v>0</v>
      </c>
      <c r="AU90">
        <v>27.893999999999998</v>
      </c>
      <c r="AV90">
        <v>5.2</v>
      </c>
      <c r="AW90">
        <v>0</v>
      </c>
      <c r="AX90">
        <v>-85.870131319999999</v>
      </c>
      <c r="AY90">
        <v>40.670490749999999</v>
      </c>
      <c r="AZ90">
        <f t="shared" si="3"/>
        <v>6</v>
      </c>
      <c r="BA90">
        <f t="shared" si="4"/>
        <v>24</v>
      </c>
      <c r="BB90">
        <f t="shared" si="5"/>
        <v>2024</v>
      </c>
      <c r="BD90" s="19">
        <v>45467</v>
      </c>
    </row>
    <row r="91" spans="1:56" x14ac:dyDescent="0.25">
      <c r="A91" s="25">
        <v>10356</v>
      </c>
      <c r="B91" t="s">
        <v>375</v>
      </c>
      <c r="C91" t="s">
        <v>375</v>
      </c>
      <c r="D91" s="27" t="s">
        <v>459</v>
      </c>
      <c r="E91" s="27">
        <v>4</v>
      </c>
      <c r="F91" s="56"/>
      <c r="G91">
        <v>10891</v>
      </c>
      <c r="H91" t="s">
        <v>17</v>
      </c>
      <c r="I91" t="s">
        <v>8</v>
      </c>
      <c r="J91">
        <v>-2.3999999999999998E-3</v>
      </c>
      <c r="K91">
        <v>1.7050000000000001</v>
      </c>
      <c r="L91">
        <v>-3.0000000000000001E-3</v>
      </c>
      <c r="N91">
        <v>1.4350066717602503</v>
      </c>
      <c r="O91">
        <v>27.819999999999997</v>
      </c>
      <c r="P91">
        <v>37.33</v>
      </c>
      <c r="Q91">
        <v>2.7488622624511163</v>
      </c>
      <c r="R91">
        <v>1.3338559477657621</v>
      </c>
      <c r="S91">
        <v>897.49599999999998</v>
      </c>
      <c r="T91">
        <v>1262.9000000000001</v>
      </c>
      <c r="U91">
        <v>1370.59</v>
      </c>
      <c r="V91">
        <v>1424.22</v>
      </c>
      <c r="W91">
        <v>1360.43</v>
      </c>
      <c r="X91">
        <v>1423.7</v>
      </c>
      <c r="Y91">
        <v>1329.66</v>
      </c>
      <c r="Z91">
        <v>1357.05</v>
      </c>
      <c r="AA91">
        <v>0.53900000000000003</v>
      </c>
      <c r="AB91">
        <v>741</v>
      </c>
      <c r="AC91">
        <v>479.3</v>
      </c>
      <c r="AD91">
        <v>454.6</v>
      </c>
      <c r="AE91">
        <v>296</v>
      </c>
      <c r="AF91">
        <v>0.22</v>
      </c>
      <c r="AG91">
        <v>452</v>
      </c>
      <c r="AH91">
        <v>0.54300000000000004</v>
      </c>
      <c r="AI91">
        <v>0.76300000000000001</v>
      </c>
      <c r="AJ91">
        <v>133.5</v>
      </c>
      <c r="AK91">
        <v>10.46</v>
      </c>
      <c r="AL91">
        <v>136.6</v>
      </c>
      <c r="AM91">
        <v>40.662939999999999</v>
      </c>
      <c r="AN91">
        <v>-85.866590000000002</v>
      </c>
      <c r="AO91">
        <v>221.9</v>
      </c>
      <c r="AP91">
        <v>123.9</v>
      </c>
      <c r="AQ91">
        <v>8.42</v>
      </c>
      <c r="AR91">
        <v>-105.8</v>
      </c>
      <c r="AS91">
        <v>12</v>
      </c>
      <c r="AT91">
        <v>0</v>
      </c>
      <c r="AU91">
        <v>27.846</v>
      </c>
      <c r="AV91">
        <v>6.06</v>
      </c>
      <c r="AW91">
        <v>0</v>
      </c>
      <c r="AX91">
        <v>-85.866598379999999</v>
      </c>
      <c r="AY91">
        <v>40.66285852</v>
      </c>
      <c r="AZ91">
        <f t="shared" si="3"/>
        <v>6</v>
      </c>
      <c r="BA91">
        <f t="shared" si="4"/>
        <v>24</v>
      </c>
      <c r="BB91">
        <f t="shared" si="5"/>
        <v>2024</v>
      </c>
      <c r="BD91" s="19">
        <v>45467</v>
      </c>
    </row>
    <row r="92" spans="1:56" x14ac:dyDescent="0.25">
      <c r="A92" s="25">
        <v>10357</v>
      </c>
      <c r="B92" t="s">
        <v>376</v>
      </c>
      <c r="C92" t="s">
        <v>376</v>
      </c>
      <c r="D92" s="27" t="s">
        <v>460</v>
      </c>
      <c r="E92" s="27">
        <v>5</v>
      </c>
      <c r="F92" s="56"/>
      <c r="G92">
        <v>12821</v>
      </c>
      <c r="H92" t="s">
        <v>17</v>
      </c>
      <c r="I92" t="s">
        <v>8</v>
      </c>
      <c r="J92">
        <v>6.6E-3</v>
      </c>
      <c r="K92">
        <v>1.6120000000000001</v>
      </c>
      <c r="L92">
        <v>0</v>
      </c>
      <c r="N92">
        <v>0.7706619758508324</v>
      </c>
      <c r="O92">
        <v>28.053333333333331</v>
      </c>
      <c r="P92">
        <v>40.293333333333329</v>
      </c>
      <c r="Q92">
        <v>2.6116363997006813</v>
      </c>
      <c r="R92">
        <v>1.2606055906957763</v>
      </c>
      <c r="S92">
        <v>296.01299999999998</v>
      </c>
      <c r="T92">
        <v>443.95100000000002</v>
      </c>
      <c r="U92">
        <v>527.00300000000004</v>
      </c>
      <c r="V92">
        <v>594.56299999999999</v>
      </c>
      <c r="W92">
        <v>516.14099999999996</v>
      </c>
      <c r="X92">
        <v>506.52499999999998</v>
      </c>
      <c r="Y92">
        <v>495.303</v>
      </c>
      <c r="Z92">
        <v>580.08699999999999</v>
      </c>
      <c r="AA92">
        <v>0.54100000000000004</v>
      </c>
      <c r="AB92">
        <v>740.9</v>
      </c>
      <c r="AC92">
        <v>528.5</v>
      </c>
      <c r="AD92">
        <v>493</v>
      </c>
      <c r="AE92">
        <v>320</v>
      </c>
      <c r="AF92">
        <v>0.24</v>
      </c>
      <c r="AG92">
        <v>489.1</v>
      </c>
      <c r="AH92">
        <v>0.54600000000000004</v>
      </c>
      <c r="AI92">
        <v>0.76600000000000001</v>
      </c>
      <c r="AJ92">
        <v>164.9</v>
      </c>
      <c r="AK92">
        <v>12.72</v>
      </c>
      <c r="AL92">
        <v>168.8</v>
      </c>
      <c r="AM92">
        <v>40.668790000000001</v>
      </c>
      <c r="AN92">
        <v>-85.847790000000003</v>
      </c>
      <c r="AO92">
        <v>224.1</v>
      </c>
      <c r="AP92">
        <v>121.9</v>
      </c>
      <c r="AQ92">
        <v>8.42</v>
      </c>
      <c r="AR92">
        <v>-106.4</v>
      </c>
      <c r="AS92">
        <v>12</v>
      </c>
      <c r="AT92">
        <v>0</v>
      </c>
      <c r="AU92">
        <v>28.765999999999998</v>
      </c>
      <c r="AV92">
        <v>5.45</v>
      </c>
      <c r="AW92">
        <v>0</v>
      </c>
      <c r="AX92">
        <v>-85.847566670000006</v>
      </c>
      <c r="AY92">
        <v>40.668957339999999</v>
      </c>
      <c r="AZ92">
        <f t="shared" si="3"/>
        <v>6</v>
      </c>
      <c r="BA92">
        <f t="shared" si="4"/>
        <v>24</v>
      </c>
      <c r="BB92">
        <f t="shared" si="5"/>
        <v>2024</v>
      </c>
      <c r="BD92" s="19">
        <v>45467</v>
      </c>
    </row>
    <row r="93" spans="1:56" x14ac:dyDescent="0.25">
      <c r="A93" s="25">
        <v>10358</v>
      </c>
      <c r="B93" t="s">
        <v>377</v>
      </c>
      <c r="C93" t="s">
        <v>377</v>
      </c>
      <c r="D93" s="27" t="s">
        <v>461</v>
      </c>
      <c r="E93" s="27">
        <v>6</v>
      </c>
      <c r="F93" s="56"/>
      <c r="G93">
        <v>14351</v>
      </c>
      <c r="H93" t="s">
        <v>17</v>
      </c>
      <c r="I93" t="s">
        <v>8</v>
      </c>
      <c r="J93">
        <v>-3.5000000000000001E-3</v>
      </c>
      <c r="K93">
        <v>1.5620000000000001</v>
      </c>
      <c r="L93">
        <v>6.0000000000000001E-3</v>
      </c>
      <c r="M93">
        <v>0.05</v>
      </c>
      <c r="N93">
        <v>4.1553525432513334</v>
      </c>
      <c r="O93">
        <v>40.466666666666669</v>
      </c>
      <c r="P93">
        <v>48.516666666666673</v>
      </c>
      <c r="Q93">
        <v>2.4115153498562978</v>
      </c>
      <c r="R93">
        <v>1.1687875943684962</v>
      </c>
      <c r="S93">
        <v>554.95100000000002</v>
      </c>
      <c r="T93">
        <v>685.24900000000002</v>
      </c>
      <c r="U93">
        <v>798.05899999999997</v>
      </c>
      <c r="V93">
        <v>865.11699999999996</v>
      </c>
      <c r="W93">
        <v>814.11500000000001</v>
      </c>
      <c r="X93">
        <v>808.21400000000006</v>
      </c>
      <c r="Y93">
        <v>905.56100000000004</v>
      </c>
      <c r="Z93">
        <v>1492.22</v>
      </c>
      <c r="AA93">
        <v>0.53900000000000003</v>
      </c>
      <c r="AB93">
        <v>740.8</v>
      </c>
      <c r="AC93">
        <v>526.6</v>
      </c>
      <c r="AD93">
        <v>487.1</v>
      </c>
      <c r="AE93">
        <v>317</v>
      </c>
      <c r="AF93">
        <v>0.23</v>
      </c>
      <c r="AG93">
        <v>482.8</v>
      </c>
      <c r="AH93">
        <v>0.53600000000000003</v>
      </c>
      <c r="AI93">
        <v>0.76400000000000001</v>
      </c>
      <c r="AJ93">
        <v>216</v>
      </c>
      <c r="AK93">
        <v>16.52</v>
      </c>
      <c r="AL93">
        <v>221.1</v>
      </c>
      <c r="AM93">
        <v>40.673850000000002</v>
      </c>
      <c r="AN93">
        <v>-85.831739999999996</v>
      </c>
      <c r="AO93">
        <v>223.4</v>
      </c>
      <c r="AP93">
        <v>106.5</v>
      </c>
      <c r="AQ93">
        <v>8.6999999999999993</v>
      </c>
      <c r="AR93">
        <v>-123.7</v>
      </c>
      <c r="AS93">
        <v>12</v>
      </c>
      <c r="AT93">
        <v>0</v>
      </c>
      <c r="AU93">
        <v>29.248999999999999</v>
      </c>
      <c r="AV93">
        <v>8.2100000000000009</v>
      </c>
      <c r="AW93">
        <v>0</v>
      </c>
      <c r="AX93">
        <v>-85.83173601</v>
      </c>
      <c r="AY93">
        <v>40.673867250000001</v>
      </c>
      <c r="AZ93">
        <f t="shared" si="3"/>
        <v>6</v>
      </c>
      <c r="BA93">
        <f t="shared" si="4"/>
        <v>24</v>
      </c>
      <c r="BB93">
        <f t="shared" si="5"/>
        <v>2024</v>
      </c>
      <c r="BD93" s="19">
        <v>45467</v>
      </c>
    </row>
    <row r="94" spans="1:56" x14ac:dyDescent="0.25">
      <c r="A94" s="25">
        <v>10359</v>
      </c>
      <c r="B94" t="s">
        <v>378</v>
      </c>
      <c r="C94" t="s">
        <v>378</v>
      </c>
      <c r="D94" s="27" t="s">
        <v>462</v>
      </c>
      <c r="E94" s="27">
        <v>7</v>
      </c>
      <c r="F94" s="56"/>
      <c r="G94">
        <v>6411</v>
      </c>
      <c r="H94" t="s">
        <v>17</v>
      </c>
      <c r="I94" t="s">
        <v>8</v>
      </c>
      <c r="J94">
        <v>2.53E-2</v>
      </c>
      <c r="K94">
        <v>1.6759999999999999</v>
      </c>
      <c r="L94">
        <v>-5.0000000000000001E-3</v>
      </c>
      <c r="M94">
        <v>0.05</v>
      </c>
      <c r="N94">
        <v>0.35886266345629142</v>
      </c>
      <c r="O94">
        <v>19.733333333333334</v>
      </c>
      <c r="P94">
        <v>28.553333333333331</v>
      </c>
      <c r="Q94">
        <v>2.6693336374480232</v>
      </c>
      <c r="R94">
        <v>1.2561167108753315</v>
      </c>
      <c r="S94">
        <v>383.12799999999999</v>
      </c>
      <c r="T94">
        <v>581.30700000000002</v>
      </c>
      <c r="U94">
        <v>680.50699999999995</v>
      </c>
      <c r="V94">
        <v>731.94200000000001</v>
      </c>
      <c r="W94">
        <v>650.08699999999999</v>
      </c>
      <c r="X94">
        <v>648.74599999999998</v>
      </c>
      <c r="Y94">
        <v>602.45799999999997</v>
      </c>
      <c r="Z94">
        <v>583.976</v>
      </c>
      <c r="AA94">
        <v>0.48099999999999998</v>
      </c>
      <c r="AB94">
        <v>740.8</v>
      </c>
      <c r="AC94">
        <v>433.7</v>
      </c>
      <c r="AD94">
        <v>417.9</v>
      </c>
      <c r="AE94">
        <v>272</v>
      </c>
      <c r="AF94">
        <v>0.2</v>
      </c>
      <c r="AG94">
        <v>416.2</v>
      </c>
      <c r="AH94">
        <v>0.48899999999999999</v>
      </c>
      <c r="AI94">
        <v>0.68200000000000005</v>
      </c>
      <c r="AJ94">
        <v>106.6</v>
      </c>
      <c r="AK94">
        <v>8.49</v>
      </c>
      <c r="AL94">
        <v>109.1</v>
      </c>
      <c r="AM94">
        <v>40.688519999999997</v>
      </c>
      <c r="AN94">
        <v>-85.896680000000003</v>
      </c>
      <c r="AO94">
        <v>224.3</v>
      </c>
      <c r="AP94">
        <v>154.30000000000001</v>
      </c>
      <c r="AQ94">
        <v>8.3000000000000007</v>
      </c>
      <c r="AR94">
        <v>-98.4</v>
      </c>
      <c r="AS94">
        <v>11.9</v>
      </c>
      <c r="AT94">
        <v>0</v>
      </c>
      <c r="AU94">
        <v>26.972999999999999</v>
      </c>
      <c r="AV94">
        <v>5.37</v>
      </c>
      <c r="AW94">
        <v>0</v>
      </c>
      <c r="AX94">
        <v>-85.896697639999999</v>
      </c>
      <c r="AY94">
        <v>40.688448100000002</v>
      </c>
      <c r="AZ94">
        <f t="shared" si="3"/>
        <v>6</v>
      </c>
      <c r="BA94">
        <f t="shared" si="4"/>
        <v>24</v>
      </c>
      <c r="BB94">
        <f t="shared" si="5"/>
        <v>2024</v>
      </c>
      <c r="BD94" s="19">
        <v>45467</v>
      </c>
    </row>
    <row r="95" spans="1:56" x14ac:dyDescent="0.25">
      <c r="A95" s="25">
        <v>10360</v>
      </c>
      <c r="B95" t="s">
        <v>379</v>
      </c>
      <c r="C95" t="s">
        <v>379</v>
      </c>
      <c r="D95" s="27" t="s">
        <v>463</v>
      </c>
      <c r="E95" s="27">
        <v>8</v>
      </c>
      <c r="F95" s="56"/>
      <c r="G95">
        <v>5401</v>
      </c>
      <c r="H95" t="s">
        <v>17</v>
      </c>
      <c r="I95" t="s">
        <v>8</v>
      </c>
      <c r="J95">
        <v>2.4299999999999999E-2</v>
      </c>
      <c r="K95">
        <v>1.6930000000000001</v>
      </c>
      <c r="L95">
        <v>-5.0000000000000001E-3</v>
      </c>
      <c r="M95">
        <v>0.05</v>
      </c>
      <c r="N95">
        <v>0.42640239094176918</v>
      </c>
      <c r="O95">
        <v>14.82</v>
      </c>
      <c r="P95">
        <v>17.809999999999999</v>
      </c>
      <c r="Q95">
        <v>2.7790103686614387</v>
      </c>
      <c r="R95">
        <v>1.3736437461742503</v>
      </c>
      <c r="S95">
        <v>299.73200000000003</v>
      </c>
      <c r="T95">
        <v>432.55900000000003</v>
      </c>
      <c r="U95">
        <v>524.59799999999996</v>
      </c>
      <c r="V95">
        <v>587.97299999999996</v>
      </c>
      <c r="W95">
        <v>492.13099999999997</v>
      </c>
      <c r="X95">
        <v>465.03800000000001</v>
      </c>
      <c r="Y95">
        <v>441.54</v>
      </c>
      <c r="Z95">
        <v>444.85199999999998</v>
      </c>
      <c r="AA95">
        <v>0.66900000000000004</v>
      </c>
      <c r="AB95">
        <v>740.8</v>
      </c>
      <c r="AC95">
        <v>431.7</v>
      </c>
      <c r="AD95">
        <v>417.4</v>
      </c>
      <c r="AE95">
        <v>271</v>
      </c>
      <c r="AF95">
        <v>0.2</v>
      </c>
      <c r="AG95">
        <v>415.8</v>
      </c>
      <c r="AH95">
        <v>0.66400000000000003</v>
      </c>
      <c r="AI95">
        <v>0.94799999999999995</v>
      </c>
      <c r="AJ95">
        <v>105</v>
      </c>
      <c r="AK95">
        <v>8.39</v>
      </c>
      <c r="AL95">
        <v>107.5</v>
      </c>
      <c r="AM95">
        <v>40.691690000000001</v>
      </c>
      <c r="AN95">
        <v>-85.908190000000005</v>
      </c>
      <c r="AO95">
        <v>224.7</v>
      </c>
      <c r="AP95">
        <v>139</v>
      </c>
      <c r="AQ95">
        <v>8.2899999999999991</v>
      </c>
      <c r="AR95">
        <v>-97.9</v>
      </c>
      <c r="AS95">
        <v>12</v>
      </c>
      <c r="AT95">
        <v>0</v>
      </c>
      <c r="AU95">
        <v>26.802</v>
      </c>
      <c r="AV95">
        <v>5.59</v>
      </c>
      <c r="AW95">
        <v>0</v>
      </c>
      <c r="AX95">
        <v>-85.908454610000007</v>
      </c>
      <c r="AY95">
        <v>40.691704379999997</v>
      </c>
      <c r="AZ95">
        <f t="shared" si="3"/>
        <v>6</v>
      </c>
      <c r="BA95">
        <f t="shared" si="4"/>
        <v>24</v>
      </c>
      <c r="BB95">
        <f t="shared" si="5"/>
        <v>2024</v>
      </c>
      <c r="BD95" s="19">
        <v>45467</v>
      </c>
    </row>
    <row r="96" spans="1:56" x14ac:dyDescent="0.25">
      <c r="A96" s="25">
        <v>10361</v>
      </c>
      <c r="B96" t="s">
        <v>380</v>
      </c>
      <c r="C96" t="s">
        <v>380</v>
      </c>
      <c r="D96" s="27" t="s">
        <v>464</v>
      </c>
      <c r="E96" s="27">
        <v>9</v>
      </c>
      <c r="F96" s="56"/>
      <c r="G96">
        <v>4381</v>
      </c>
      <c r="H96" t="s">
        <v>17</v>
      </c>
      <c r="I96" t="s">
        <v>8</v>
      </c>
      <c r="J96">
        <v>2.1999999999999999E-2</v>
      </c>
      <c r="K96">
        <v>1.7330000000000001</v>
      </c>
      <c r="L96">
        <v>-5.0000000000000001E-3</v>
      </c>
      <c r="M96">
        <v>0.05</v>
      </c>
      <c r="N96">
        <v>0.56276013323861318</v>
      </c>
      <c r="O96">
        <v>13.233333333333334</v>
      </c>
      <c r="P96">
        <v>21.39</v>
      </c>
      <c r="Q96">
        <v>2.9552208515114291</v>
      </c>
      <c r="R96">
        <v>1.4409769434809223</v>
      </c>
      <c r="S96">
        <v>234.00399999999999</v>
      </c>
      <c r="T96">
        <v>369.00200000000001</v>
      </c>
      <c r="U96">
        <v>480.536</v>
      </c>
      <c r="V96">
        <v>545.774</v>
      </c>
      <c r="W96">
        <v>432.93</v>
      </c>
      <c r="X96">
        <v>396.48899999999998</v>
      </c>
      <c r="Y96">
        <v>373.22500000000002</v>
      </c>
      <c r="Z96">
        <v>342.74299999999999</v>
      </c>
      <c r="AA96">
        <v>0.48299999999999998</v>
      </c>
      <c r="AB96">
        <v>740.9</v>
      </c>
      <c r="AC96">
        <v>430.7</v>
      </c>
      <c r="AD96">
        <v>417.4</v>
      </c>
      <c r="AE96">
        <v>271</v>
      </c>
      <c r="AF96">
        <v>0.2</v>
      </c>
      <c r="AG96">
        <v>416</v>
      </c>
      <c r="AH96">
        <v>0.495</v>
      </c>
      <c r="AI96">
        <v>0.68500000000000005</v>
      </c>
      <c r="AJ96">
        <v>104.3</v>
      </c>
      <c r="AK96">
        <v>8.35</v>
      </c>
      <c r="AL96">
        <v>106.7</v>
      </c>
      <c r="AM96">
        <v>40.703980000000001</v>
      </c>
      <c r="AN96">
        <v>-85.929640000000006</v>
      </c>
      <c r="AO96">
        <v>225.5</v>
      </c>
      <c r="AP96">
        <v>145.19999999999999</v>
      </c>
      <c r="AQ96">
        <v>8.31</v>
      </c>
      <c r="AR96">
        <v>-99.2</v>
      </c>
      <c r="AS96">
        <v>12</v>
      </c>
      <c r="AT96">
        <v>0</v>
      </c>
      <c r="AU96">
        <v>26.667999999999999</v>
      </c>
      <c r="AV96">
        <v>5.28</v>
      </c>
      <c r="AW96">
        <v>0</v>
      </c>
      <c r="AX96">
        <v>-85.929649389999994</v>
      </c>
      <c r="AY96">
        <v>40.704138399999998</v>
      </c>
      <c r="AZ96">
        <f t="shared" si="3"/>
        <v>6</v>
      </c>
      <c r="BA96">
        <f t="shared" si="4"/>
        <v>24</v>
      </c>
      <c r="BB96">
        <f t="shared" si="5"/>
        <v>2024</v>
      </c>
      <c r="BD96" s="19">
        <v>45467</v>
      </c>
    </row>
    <row r="97" spans="1:56" x14ac:dyDescent="0.25">
      <c r="A97" s="25">
        <v>10362</v>
      </c>
      <c r="B97" t="s">
        <v>381</v>
      </c>
      <c r="C97" t="s">
        <v>381</v>
      </c>
      <c r="D97" s="27" t="s">
        <v>465</v>
      </c>
      <c r="E97" s="27">
        <v>10</v>
      </c>
      <c r="F97" s="56"/>
      <c r="G97">
        <v>2851</v>
      </c>
      <c r="H97" t="s">
        <v>17</v>
      </c>
      <c r="I97" t="s">
        <v>8</v>
      </c>
      <c r="J97">
        <v>2.0199999999999999E-2</v>
      </c>
      <c r="K97">
        <v>1.722</v>
      </c>
      <c r="L97">
        <v>-6.0000000000000001E-3</v>
      </c>
      <c r="N97" t="s">
        <v>509</v>
      </c>
      <c r="O97">
        <v>14.886666666666665</v>
      </c>
      <c r="P97">
        <v>14.156666666666666</v>
      </c>
      <c r="Q97">
        <v>2.7675748800989028</v>
      </c>
      <c r="R97">
        <v>1.3936396653744136</v>
      </c>
      <c r="S97">
        <v>205.709</v>
      </c>
      <c r="T97">
        <v>241.68700000000001</v>
      </c>
      <c r="U97">
        <v>368.87200000000001</v>
      </c>
      <c r="V97">
        <v>449.577</v>
      </c>
      <c r="W97">
        <v>348.036</v>
      </c>
      <c r="X97">
        <v>276.52100000000002</v>
      </c>
      <c r="Y97">
        <v>320.03699999999998</v>
      </c>
      <c r="Z97">
        <v>337.43700000000001</v>
      </c>
      <c r="AA97">
        <v>0.70899999999999996</v>
      </c>
      <c r="AB97">
        <v>740.8</v>
      </c>
      <c r="AC97">
        <v>429.4</v>
      </c>
      <c r="AD97">
        <v>415.7</v>
      </c>
      <c r="AE97">
        <v>270</v>
      </c>
      <c r="AF97">
        <v>0.2</v>
      </c>
      <c r="AG97">
        <v>414.3</v>
      </c>
      <c r="AH97">
        <v>0.72299999999999998</v>
      </c>
      <c r="AI97">
        <v>1.006</v>
      </c>
      <c r="AJ97">
        <v>106.5</v>
      </c>
      <c r="AK97">
        <v>8.52</v>
      </c>
      <c r="AL97">
        <v>109</v>
      </c>
      <c r="AM97">
        <v>40.693420000000003</v>
      </c>
      <c r="AN97">
        <v>-85.920500000000004</v>
      </c>
      <c r="AO97">
        <v>220.3</v>
      </c>
      <c r="AP97">
        <v>126.5</v>
      </c>
      <c r="AQ97">
        <v>8.32</v>
      </c>
      <c r="AR97">
        <v>-99.8</v>
      </c>
      <c r="AS97">
        <v>11.9</v>
      </c>
      <c r="AT97">
        <v>0</v>
      </c>
      <c r="AU97">
        <v>26.725000000000001</v>
      </c>
      <c r="AV97">
        <v>5.0999999999999996</v>
      </c>
      <c r="AW97">
        <v>0</v>
      </c>
      <c r="AX97">
        <v>-85.920312339999995</v>
      </c>
      <c r="AY97">
        <v>40.693279609999998</v>
      </c>
      <c r="AZ97">
        <f t="shared" si="3"/>
        <v>6</v>
      </c>
      <c r="BA97">
        <f t="shared" si="4"/>
        <v>24</v>
      </c>
      <c r="BB97">
        <f t="shared" si="5"/>
        <v>2024</v>
      </c>
      <c r="BD97" s="19">
        <v>45467</v>
      </c>
    </row>
    <row r="98" spans="1:56" x14ac:dyDescent="0.25">
      <c r="A98" s="25">
        <v>10363</v>
      </c>
      <c r="B98" t="s">
        <v>382</v>
      </c>
      <c r="C98" t="s">
        <v>382</v>
      </c>
      <c r="D98" s="27" t="s">
        <v>466</v>
      </c>
      <c r="E98" s="27">
        <v>11</v>
      </c>
      <c r="F98" s="56"/>
      <c r="G98">
        <v>1731</v>
      </c>
      <c r="H98" t="s">
        <v>17</v>
      </c>
      <c r="I98" t="s">
        <v>8</v>
      </c>
      <c r="J98">
        <v>2.0799999999999999E-2</v>
      </c>
      <c r="K98">
        <v>1.7370000000000001</v>
      </c>
      <c r="L98">
        <v>-4.0000000000000001E-3</v>
      </c>
      <c r="N98">
        <v>0.39820835685073785</v>
      </c>
      <c r="O98">
        <v>13.329999999999998</v>
      </c>
      <c r="P98">
        <v>18.546666666666667</v>
      </c>
      <c r="Q98">
        <v>2.7535404168630624</v>
      </c>
      <c r="R98">
        <v>1.2916196694552133</v>
      </c>
      <c r="S98">
        <v>378.37799999999999</v>
      </c>
      <c r="T98">
        <v>562.26700000000005</v>
      </c>
      <c r="U98">
        <v>644.58699999999999</v>
      </c>
      <c r="V98">
        <v>716.58600000000001</v>
      </c>
      <c r="W98">
        <v>604.79100000000005</v>
      </c>
      <c r="X98">
        <v>591.08600000000001</v>
      </c>
      <c r="Y98">
        <v>533.14</v>
      </c>
      <c r="Z98">
        <v>519.88599999999997</v>
      </c>
      <c r="AA98">
        <v>0.64</v>
      </c>
      <c r="AB98">
        <v>740.9</v>
      </c>
      <c r="AC98">
        <v>427.6</v>
      </c>
      <c r="AD98">
        <v>413.3</v>
      </c>
      <c r="AE98">
        <v>269</v>
      </c>
      <c r="AF98">
        <v>0.2</v>
      </c>
      <c r="AG98">
        <v>411.7</v>
      </c>
      <c r="AH98">
        <v>0.65300000000000002</v>
      </c>
      <c r="AI98">
        <v>0.90700000000000003</v>
      </c>
      <c r="AJ98">
        <v>105.5</v>
      </c>
      <c r="AK98">
        <v>8.43</v>
      </c>
      <c r="AL98">
        <v>108</v>
      </c>
      <c r="AM98">
        <v>40.711080000000003</v>
      </c>
      <c r="AN98">
        <v>-85.938059999999993</v>
      </c>
      <c r="AO98">
        <v>225.8</v>
      </c>
      <c r="AP98">
        <v>115.9</v>
      </c>
      <c r="AQ98">
        <v>8.35</v>
      </c>
      <c r="AR98">
        <v>-101.3</v>
      </c>
      <c r="AS98">
        <v>12</v>
      </c>
      <c r="AT98">
        <v>0</v>
      </c>
      <c r="AU98">
        <v>26.814</v>
      </c>
      <c r="AV98">
        <v>5.0599999999999996</v>
      </c>
      <c r="AW98">
        <v>0</v>
      </c>
      <c r="AX98">
        <v>-85.938016349999998</v>
      </c>
      <c r="AY98">
        <v>40.710970340000003</v>
      </c>
      <c r="AZ98">
        <f t="shared" si="3"/>
        <v>6</v>
      </c>
      <c r="BA98">
        <f t="shared" si="4"/>
        <v>24</v>
      </c>
      <c r="BB98">
        <f t="shared" si="5"/>
        <v>2024</v>
      </c>
      <c r="BD98" s="19">
        <v>45467</v>
      </c>
    </row>
    <row r="99" spans="1:56" x14ac:dyDescent="0.25">
      <c r="A99" s="25">
        <v>10364</v>
      </c>
      <c r="B99" t="s">
        <v>383</v>
      </c>
      <c r="C99" t="s">
        <v>383</v>
      </c>
      <c r="D99" s="27" t="s">
        <v>467</v>
      </c>
      <c r="E99" s="27">
        <v>12</v>
      </c>
      <c r="F99" s="56"/>
      <c r="G99">
        <v>661</v>
      </c>
      <c r="H99" t="s">
        <v>17</v>
      </c>
      <c r="I99" t="s">
        <v>8</v>
      </c>
      <c r="J99">
        <v>6.6E-3</v>
      </c>
      <c r="K99">
        <v>1.77</v>
      </c>
      <c r="L99">
        <v>-6.0000000000000001E-3</v>
      </c>
      <c r="N99">
        <v>1.1541632770311205</v>
      </c>
      <c r="O99">
        <v>9.5400000000000009</v>
      </c>
      <c r="P99">
        <v>13.6</v>
      </c>
      <c r="Q99">
        <v>2.7597779560789917</v>
      </c>
      <c r="R99">
        <v>0.9421671767666463</v>
      </c>
      <c r="S99">
        <v>142.65299999999999</v>
      </c>
      <c r="T99">
        <v>180.482</v>
      </c>
      <c r="U99">
        <v>233.959</v>
      </c>
      <c r="V99">
        <v>253.744</v>
      </c>
      <c r="W99">
        <v>234.37899999999999</v>
      </c>
      <c r="X99">
        <v>203.79499999999999</v>
      </c>
      <c r="Y99">
        <v>222.08699999999999</v>
      </c>
      <c r="Z99">
        <v>319.69900000000001</v>
      </c>
      <c r="AA99">
        <v>0.58399999999999996</v>
      </c>
      <c r="AB99">
        <v>740.9</v>
      </c>
      <c r="AC99">
        <v>424.1</v>
      </c>
      <c r="AD99">
        <v>411.1</v>
      </c>
      <c r="AE99">
        <v>267</v>
      </c>
      <c r="AF99">
        <v>0.2</v>
      </c>
      <c r="AG99">
        <v>409.8</v>
      </c>
      <c r="AH99">
        <v>0.58599999999999997</v>
      </c>
      <c r="AI99">
        <v>0.82799999999999996</v>
      </c>
      <c r="AJ99">
        <v>108.2</v>
      </c>
      <c r="AK99">
        <v>8.67</v>
      </c>
      <c r="AL99">
        <v>110.7</v>
      </c>
      <c r="AM99">
        <v>40.711269999999999</v>
      </c>
      <c r="AN99">
        <v>-85.951189999999997</v>
      </c>
      <c r="AO99">
        <v>223.7</v>
      </c>
      <c r="AP99">
        <v>93.4</v>
      </c>
      <c r="AQ99">
        <v>8.3699999999999992</v>
      </c>
      <c r="AR99">
        <v>-102.5</v>
      </c>
      <c r="AS99">
        <v>11.9</v>
      </c>
      <c r="AT99">
        <v>0</v>
      </c>
      <c r="AU99">
        <v>26.652000000000001</v>
      </c>
      <c r="AV99">
        <v>5.91</v>
      </c>
      <c r="AW99">
        <v>0</v>
      </c>
      <c r="AX99">
        <v>-85.950999049999993</v>
      </c>
      <c r="AY99">
        <v>40.711466199999997</v>
      </c>
      <c r="AZ99">
        <f t="shared" si="3"/>
        <v>6</v>
      </c>
      <c r="BA99">
        <f t="shared" si="4"/>
        <v>24</v>
      </c>
      <c r="BB99">
        <f t="shared" si="5"/>
        <v>2024</v>
      </c>
      <c r="BD99" s="19">
        <v>45467</v>
      </c>
    </row>
    <row r="100" spans="1:56" x14ac:dyDescent="0.25">
      <c r="A100" s="25">
        <v>10365</v>
      </c>
      <c r="B100" t="s">
        <v>384</v>
      </c>
      <c r="C100" t="s">
        <v>384</v>
      </c>
      <c r="D100" s="27" t="s">
        <v>468</v>
      </c>
      <c r="E100" s="27">
        <v>13</v>
      </c>
      <c r="F100" s="56"/>
      <c r="G100">
        <v>13553</v>
      </c>
      <c r="H100" t="s">
        <v>17</v>
      </c>
      <c r="I100" t="s">
        <v>8</v>
      </c>
      <c r="J100">
        <v>1.09E-2</v>
      </c>
      <c r="K100">
        <v>1.5229999999999999</v>
      </c>
      <c r="L100">
        <v>-2E-3</v>
      </c>
      <c r="N100">
        <v>0.29678288592751328</v>
      </c>
      <c r="O100">
        <v>20.063333333333333</v>
      </c>
      <c r="P100">
        <v>22.850000000000005</v>
      </c>
      <c r="Q100">
        <v>2.7956438065705824</v>
      </c>
      <c r="R100">
        <v>0.91972277766442223</v>
      </c>
      <c r="S100">
        <v>216.41300000000001</v>
      </c>
      <c r="T100">
        <v>276.666</v>
      </c>
      <c r="U100">
        <v>388.48</v>
      </c>
      <c r="V100">
        <v>459.548</v>
      </c>
      <c r="W100">
        <v>381.96800000000002</v>
      </c>
      <c r="X100">
        <v>316.642</v>
      </c>
      <c r="Y100">
        <v>350.31400000000002</v>
      </c>
      <c r="Z100">
        <v>438.08800000000002</v>
      </c>
      <c r="AA100">
        <v>0.56299999999999994</v>
      </c>
      <c r="AB100">
        <v>740.8</v>
      </c>
      <c r="AC100">
        <v>530.9</v>
      </c>
      <c r="AD100">
        <v>495.5</v>
      </c>
      <c r="AE100">
        <v>322</v>
      </c>
      <c r="AF100">
        <v>0.24</v>
      </c>
      <c r="AG100">
        <v>491.7</v>
      </c>
      <c r="AH100">
        <v>0.56499999999999995</v>
      </c>
      <c r="AI100">
        <v>0.79800000000000004</v>
      </c>
      <c r="AJ100">
        <v>155.5</v>
      </c>
      <c r="AK100">
        <v>12</v>
      </c>
      <c r="AL100">
        <v>159.19999999999999</v>
      </c>
      <c r="AM100">
        <v>40.673029999999997</v>
      </c>
      <c r="AN100">
        <v>-85.841570000000004</v>
      </c>
      <c r="AO100">
        <v>225.1</v>
      </c>
      <c r="AP100">
        <v>118.7</v>
      </c>
      <c r="AQ100">
        <v>8.3699999999999992</v>
      </c>
      <c r="AR100">
        <v>-103.2</v>
      </c>
      <c r="AS100">
        <v>11.9</v>
      </c>
      <c r="AT100">
        <v>0</v>
      </c>
      <c r="AU100">
        <v>28.74</v>
      </c>
      <c r="AV100">
        <v>5.88</v>
      </c>
      <c r="AW100">
        <v>0</v>
      </c>
      <c r="AX100">
        <v>-85.84132262</v>
      </c>
      <c r="AY100">
        <v>40.673133649999997</v>
      </c>
      <c r="AZ100">
        <f t="shared" si="3"/>
        <v>6</v>
      </c>
      <c r="BA100">
        <f t="shared" si="4"/>
        <v>24</v>
      </c>
      <c r="BB100">
        <f t="shared" si="5"/>
        <v>2024</v>
      </c>
      <c r="BD100" s="19">
        <v>45467</v>
      </c>
    </row>
    <row r="101" spans="1:56" x14ac:dyDescent="0.25">
      <c r="A101" s="25">
        <v>10366</v>
      </c>
      <c r="B101" t="s">
        <v>385</v>
      </c>
      <c r="C101" t="s">
        <v>385</v>
      </c>
      <c r="D101" s="27" t="s">
        <v>485</v>
      </c>
      <c r="E101" s="27">
        <v>1</v>
      </c>
      <c r="F101" s="56"/>
      <c r="G101">
        <v>5210</v>
      </c>
      <c r="H101" t="s">
        <v>19</v>
      </c>
      <c r="I101" t="s">
        <v>8</v>
      </c>
      <c r="J101">
        <v>1.77E-2</v>
      </c>
      <c r="K101">
        <v>2.1379999999999999</v>
      </c>
      <c r="L101">
        <v>-3.3000000000000002E-2</v>
      </c>
      <c r="M101">
        <v>0.05</v>
      </c>
      <c r="N101">
        <v>0.34058794311516605</v>
      </c>
      <c r="O101">
        <v>14.056666666666667</v>
      </c>
      <c r="P101">
        <v>16.13</v>
      </c>
      <c r="Q101">
        <v>4.1471106366884989</v>
      </c>
      <c r="R101">
        <v>1.7403036115078554</v>
      </c>
      <c r="S101">
        <v>378.14299999999997</v>
      </c>
      <c r="T101">
        <v>495.435</v>
      </c>
      <c r="U101">
        <v>570.93899999999996</v>
      </c>
      <c r="V101">
        <v>647.37</v>
      </c>
      <c r="W101">
        <v>637.03300000000002</v>
      </c>
      <c r="X101">
        <v>584.69600000000003</v>
      </c>
      <c r="Y101">
        <v>598.87300000000005</v>
      </c>
      <c r="Z101">
        <v>628.92200000000003</v>
      </c>
      <c r="AA101">
        <v>0.53900000000000003</v>
      </c>
      <c r="AB101">
        <v>740.5</v>
      </c>
      <c r="AC101">
        <v>390.3</v>
      </c>
      <c r="AD101">
        <v>390.4</v>
      </c>
      <c r="AE101">
        <v>254</v>
      </c>
      <c r="AF101">
        <v>0.19</v>
      </c>
      <c r="AG101">
        <v>390.4</v>
      </c>
      <c r="AH101">
        <v>0.55000000000000004</v>
      </c>
      <c r="AI101">
        <v>0.76500000000000001</v>
      </c>
      <c r="AJ101">
        <v>101.4</v>
      </c>
      <c r="AK101">
        <v>8.3699999999999992</v>
      </c>
      <c r="AL101">
        <v>103.7</v>
      </c>
      <c r="AM101">
        <v>40.772190000000002</v>
      </c>
      <c r="AN101">
        <v>-85.645200000000003</v>
      </c>
      <c r="AO101">
        <v>230.2</v>
      </c>
      <c r="AP101">
        <v>161.9</v>
      </c>
      <c r="AQ101">
        <v>8.32</v>
      </c>
      <c r="AR101">
        <v>-103</v>
      </c>
      <c r="AS101">
        <v>11.9</v>
      </c>
      <c r="AT101">
        <v>0</v>
      </c>
      <c r="AU101">
        <v>24.99</v>
      </c>
      <c r="AV101">
        <v>5.27</v>
      </c>
      <c r="AW101">
        <v>0</v>
      </c>
      <c r="AX101">
        <v>-85.645051519999996</v>
      </c>
      <c r="AY101">
        <v>40.772296269999998</v>
      </c>
      <c r="AZ101">
        <f t="shared" si="3"/>
        <v>6</v>
      </c>
      <c r="BA101">
        <f t="shared" si="4"/>
        <v>27</v>
      </c>
      <c r="BB101">
        <f t="shared" si="5"/>
        <v>2024</v>
      </c>
      <c r="BD101" s="19">
        <v>45470</v>
      </c>
    </row>
    <row r="102" spans="1:56" x14ac:dyDescent="0.25">
      <c r="A102" s="25">
        <v>10367</v>
      </c>
      <c r="B102" t="s">
        <v>386</v>
      </c>
      <c r="C102" t="s">
        <v>386</v>
      </c>
      <c r="D102" s="27" t="s">
        <v>486</v>
      </c>
      <c r="E102" s="27">
        <v>2</v>
      </c>
      <c r="F102" s="56"/>
      <c r="G102">
        <v>5430</v>
      </c>
      <c r="H102" t="s">
        <v>19</v>
      </c>
      <c r="I102" t="s">
        <v>8</v>
      </c>
      <c r="J102">
        <v>2.41E-2</v>
      </c>
      <c r="K102">
        <v>2.052</v>
      </c>
      <c r="L102">
        <v>-2.1000000000000001E-2</v>
      </c>
      <c r="M102">
        <v>0.05</v>
      </c>
      <c r="N102">
        <v>0.42691706430212684</v>
      </c>
      <c r="O102">
        <v>5.4066666666666663</v>
      </c>
      <c r="P102">
        <v>5.8</v>
      </c>
      <c r="Q102">
        <v>4.0135233384806899</v>
      </c>
      <c r="R102">
        <v>1.710921852683126</v>
      </c>
      <c r="S102">
        <v>222.42500000000001</v>
      </c>
      <c r="T102">
        <v>267.39999999999998</v>
      </c>
      <c r="U102">
        <v>362.113</v>
      </c>
      <c r="V102">
        <v>434.00700000000001</v>
      </c>
      <c r="W102">
        <v>408.74299999999999</v>
      </c>
      <c r="X102">
        <v>334.34500000000003</v>
      </c>
      <c r="Y102">
        <v>381.07600000000002</v>
      </c>
      <c r="Z102">
        <v>410.90699999999998</v>
      </c>
      <c r="AA102">
        <v>0.53700000000000003</v>
      </c>
      <c r="AB102">
        <v>740.5</v>
      </c>
      <c r="AC102">
        <v>392.3</v>
      </c>
      <c r="AD102">
        <v>392.1</v>
      </c>
      <c r="AE102">
        <v>255</v>
      </c>
      <c r="AF102">
        <v>0.19</v>
      </c>
      <c r="AG102">
        <v>392.1</v>
      </c>
      <c r="AH102">
        <v>0.56000000000000005</v>
      </c>
      <c r="AI102">
        <v>0.76200000000000001</v>
      </c>
      <c r="AJ102">
        <v>96.8</v>
      </c>
      <c r="AK102">
        <v>7.99</v>
      </c>
      <c r="AL102">
        <v>99.1</v>
      </c>
      <c r="AM102">
        <v>40.77064</v>
      </c>
      <c r="AN102">
        <v>-85.647210000000001</v>
      </c>
      <c r="AO102">
        <v>229.6</v>
      </c>
      <c r="AP102">
        <v>135.4</v>
      </c>
      <c r="AQ102">
        <v>8.26</v>
      </c>
      <c r="AR102">
        <v>-99.1</v>
      </c>
      <c r="AS102">
        <v>11.9</v>
      </c>
      <c r="AT102">
        <v>0</v>
      </c>
      <c r="AU102">
        <v>25.027999999999999</v>
      </c>
      <c r="AV102">
        <v>6.03</v>
      </c>
      <c r="AW102">
        <v>0</v>
      </c>
      <c r="AX102">
        <v>-85.647150420000003</v>
      </c>
      <c r="AY102">
        <v>40.770774430000003</v>
      </c>
      <c r="AZ102">
        <f t="shared" si="3"/>
        <v>6</v>
      </c>
      <c r="BA102">
        <f t="shared" si="4"/>
        <v>27</v>
      </c>
      <c r="BB102">
        <f t="shared" si="5"/>
        <v>2024</v>
      </c>
      <c r="BD102" s="19">
        <v>45470</v>
      </c>
    </row>
    <row r="103" spans="1:56" x14ac:dyDescent="0.25">
      <c r="A103" s="25">
        <v>10368</v>
      </c>
      <c r="B103" t="s">
        <v>387</v>
      </c>
      <c r="C103" t="s">
        <v>387</v>
      </c>
      <c r="D103" s="27" t="s">
        <v>487</v>
      </c>
      <c r="E103" s="27">
        <v>3</v>
      </c>
      <c r="F103" s="56"/>
      <c r="G103">
        <v>4180</v>
      </c>
      <c r="H103" t="s">
        <v>19</v>
      </c>
      <c r="I103" t="s">
        <v>8</v>
      </c>
      <c r="J103">
        <v>1.5100000000000001E-2</v>
      </c>
      <c r="K103">
        <v>2.0339999999999998</v>
      </c>
      <c r="L103">
        <v>-3.3000000000000002E-2</v>
      </c>
      <c r="M103">
        <v>0.05</v>
      </c>
      <c r="N103" t="s">
        <v>509</v>
      </c>
      <c r="O103">
        <v>3.59</v>
      </c>
      <c r="P103">
        <v>2.8699999999999997</v>
      </c>
      <c r="Q103">
        <v>3.8669411669063614</v>
      </c>
      <c r="R103">
        <v>1.6178796164048155</v>
      </c>
      <c r="S103">
        <v>310.99200000000002</v>
      </c>
      <c r="T103">
        <v>450.45100000000002</v>
      </c>
      <c r="U103">
        <v>509.71499999999997</v>
      </c>
      <c r="V103">
        <v>578.029</v>
      </c>
      <c r="W103">
        <v>555.98800000000006</v>
      </c>
      <c r="X103">
        <v>522.04899999999998</v>
      </c>
      <c r="Y103">
        <v>513.70699999999999</v>
      </c>
      <c r="Z103">
        <v>498.637</v>
      </c>
      <c r="AA103">
        <v>0.53900000000000003</v>
      </c>
      <c r="AB103">
        <v>740.6</v>
      </c>
      <c r="AC103">
        <v>396.9</v>
      </c>
      <c r="AD103">
        <v>395.1</v>
      </c>
      <c r="AE103">
        <v>257</v>
      </c>
      <c r="AF103">
        <v>0.19</v>
      </c>
      <c r="AG103">
        <v>394.9</v>
      </c>
      <c r="AH103">
        <v>0.54600000000000004</v>
      </c>
      <c r="AI103">
        <v>0.76400000000000001</v>
      </c>
      <c r="AJ103">
        <v>100.9</v>
      </c>
      <c r="AK103">
        <v>8.3000000000000007</v>
      </c>
      <c r="AL103">
        <v>103.3</v>
      </c>
      <c r="AM103">
        <v>40.780999999999999</v>
      </c>
      <c r="AN103">
        <v>-85.646569999999997</v>
      </c>
      <c r="AO103">
        <v>232.2</v>
      </c>
      <c r="AP103">
        <v>89.5</v>
      </c>
      <c r="AQ103">
        <v>8.33</v>
      </c>
      <c r="AR103">
        <v>-103.4</v>
      </c>
      <c r="AS103">
        <v>11.9</v>
      </c>
      <c r="AT103">
        <v>0</v>
      </c>
      <c r="AU103">
        <v>25.233000000000001</v>
      </c>
      <c r="AV103">
        <v>4.87</v>
      </c>
      <c r="AW103">
        <v>0</v>
      </c>
      <c r="AX103">
        <v>-85.646588960000003</v>
      </c>
      <c r="AY103">
        <v>40.781075420000001</v>
      </c>
      <c r="AZ103">
        <f t="shared" si="3"/>
        <v>6</v>
      </c>
      <c r="BA103">
        <f t="shared" si="4"/>
        <v>27</v>
      </c>
      <c r="BB103">
        <f t="shared" si="5"/>
        <v>2024</v>
      </c>
      <c r="BD103" s="19">
        <v>45470</v>
      </c>
    </row>
    <row r="104" spans="1:56" x14ac:dyDescent="0.25">
      <c r="A104" s="25">
        <v>10369</v>
      </c>
      <c r="B104" t="s">
        <v>388</v>
      </c>
      <c r="C104" t="s">
        <v>388</v>
      </c>
      <c r="D104" s="27" t="s">
        <v>488</v>
      </c>
      <c r="E104" s="27">
        <v>4</v>
      </c>
      <c r="F104" s="56"/>
      <c r="G104">
        <v>4980</v>
      </c>
      <c r="H104" t="s">
        <v>19</v>
      </c>
      <c r="I104" t="s">
        <v>8</v>
      </c>
      <c r="J104">
        <v>1.9099999999999999E-2</v>
      </c>
      <c r="K104">
        <v>1.9239999999999999</v>
      </c>
      <c r="L104">
        <v>-3.4000000000000002E-2</v>
      </c>
      <c r="N104">
        <v>0.40175155267877694</v>
      </c>
      <c r="O104">
        <v>6.06</v>
      </c>
      <c r="P104">
        <v>11.106666666666664</v>
      </c>
      <c r="Q104">
        <v>3.5436287175473833</v>
      </c>
      <c r="R104">
        <v>1.4324072638237095</v>
      </c>
      <c r="S104">
        <v>172.39500000000001</v>
      </c>
      <c r="T104">
        <v>227.81399999999999</v>
      </c>
      <c r="U104">
        <v>328.64699999999999</v>
      </c>
      <c r="V104">
        <v>408.79700000000003</v>
      </c>
      <c r="W104">
        <v>365.41399999999999</v>
      </c>
      <c r="X104">
        <v>293.91899999999998</v>
      </c>
      <c r="Y104">
        <v>310.36099999999999</v>
      </c>
      <c r="Z104">
        <v>329.39</v>
      </c>
      <c r="AA104">
        <v>0.57499999999999996</v>
      </c>
      <c r="AB104">
        <v>740.5</v>
      </c>
      <c r="AC104">
        <v>399</v>
      </c>
      <c r="AD104">
        <v>395.5</v>
      </c>
      <c r="AE104">
        <v>257</v>
      </c>
      <c r="AF104">
        <v>0.19</v>
      </c>
      <c r="AG104">
        <v>395.1</v>
      </c>
      <c r="AH104">
        <v>0.58499999999999996</v>
      </c>
      <c r="AI104">
        <v>0.81599999999999995</v>
      </c>
      <c r="AJ104">
        <v>97.3</v>
      </c>
      <c r="AK104">
        <v>7.97</v>
      </c>
      <c r="AL104">
        <v>99.6</v>
      </c>
      <c r="AM104">
        <v>40.783729999999998</v>
      </c>
      <c r="AN104">
        <v>-85.639020000000002</v>
      </c>
      <c r="AO104">
        <v>229.3</v>
      </c>
      <c r="AP104">
        <v>153.5</v>
      </c>
      <c r="AQ104">
        <v>8.3000000000000007</v>
      </c>
      <c r="AR104">
        <v>-102</v>
      </c>
      <c r="AS104">
        <v>11.9</v>
      </c>
      <c r="AT104">
        <v>0</v>
      </c>
      <c r="AU104">
        <v>25.463000000000001</v>
      </c>
      <c r="AV104">
        <v>7.1</v>
      </c>
      <c r="AW104">
        <v>0</v>
      </c>
      <c r="AX104">
        <v>-85.638733939999995</v>
      </c>
      <c r="AY104">
        <v>40.783930470000001</v>
      </c>
      <c r="AZ104">
        <f t="shared" si="3"/>
        <v>6</v>
      </c>
      <c r="BA104">
        <f t="shared" si="4"/>
        <v>27</v>
      </c>
      <c r="BB104">
        <f t="shared" si="5"/>
        <v>2024</v>
      </c>
      <c r="BD104" s="19">
        <v>45470</v>
      </c>
    </row>
    <row r="105" spans="1:56" x14ac:dyDescent="0.25">
      <c r="A105" s="25">
        <v>10370</v>
      </c>
      <c r="B105" t="s">
        <v>389</v>
      </c>
      <c r="C105" t="s">
        <v>389</v>
      </c>
      <c r="D105" s="27" t="s">
        <v>489</v>
      </c>
      <c r="E105" s="27">
        <v>5</v>
      </c>
      <c r="F105" s="56"/>
      <c r="G105">
        <v>6340</v>
      </c>
      <c r="H105" t="s">
        <v>19</v>
      </c>
      <c r="I105" t="s">
        <v>8</v>
      </c>
      <c r="J105">
        <v>5.4000000000000003E-3</v>
      </c>
      <c r="K105">
        <v>1.93</v>
      </c>
      <c r="L105">
        <v>-3.5999999999999997E-2</v>
      </c>
      <c r="M105">
        <v>0.05</v>
      </c>
      <c r="N105">
        <v>0.62165368181414871</v>
      </c>
      <c r="O105">
        <v>4.8866666666666667</v>
      </c>
      <c r="P105">
        <v>2.8466666666666662</v>
      </c>
      <c r="Q105">
        <v>3.351824386657571</v>
      </c>
      <c r="R105">
        <v>1.3558922668843094</v>
      </c>
      <c r="S105">
        <v>260.02699999999999</v>
      </c>
      <c r="T105">
        <v>335.44099999999997</v>
      </c>
      <c r="U105">
        <v>419.22899999999998</v>
      </c>
      <c r="V105">
        <v>477.94200000000001</v>
      </c>
      <c r="W105">
        <v>456.51499999999999</v>
      </c>
      <c r="X105">
        <v>417.459</v>
      </c>
      <c r="Y105">
        <v>422.34399999999999</v>
      </c>
      <c r="Z105">
        <v>507.00900000000001</v>
      </c>
      <c r="AA105">
        <v>0.53400000000000003</v>
      </c>
      <c r="AB105">
        <v>740.5</v>
      </c>
      <c r="AC105">
        <v>408.8</v>
      </c>
      <c r="AD105">
        <v>402.8</v>
      </c>
      <c r="AE105">
        <v>262</v>
      </c>
      <c r="AF105">
        <v>0.19</v>
      </c>
      <c r="AG105">
        <v>402.2</v>
      </c>
      <c r="AH105">
        <v>0.56399999999999995</v>
      </c>
      <c r="AI105">
        <v>0.75700000000000001</v>
      </c>
      <c r="AJ105">
        <v>98.9</v>
      </c>
      <c r="AK105">
        <v>8.0500000000000007</v>
      </c>
      <c r="AL105">
        <v>101.2</v>
      </c>
      <c r="AM105">
        <v>40.774439999999998</v>
      </c>
      <c r="AN105">
        <v>-85.624099999999999</v>
      </c>
      <c r="AO105">
        <v>224.8</v>
      </c>
      <c r="AP105">
        <v>157.30000000000001</v>
      </c>
      <c r="AQ105">
        <v>8.3000000000000007</v>
      </c>
      <c r="AR105">
        <v>-101.8</v>
      </c>
      <c r="AS105">
        <v>11.9</v>
      </c>
      <c r="AT105">
        <v>0</v>
      </c>
      <c r="AU105">
        <v>25.774999999999999</v>
      </c>
      <c r="AV105">
        <v>4.34</v>
      </c>
      <c r="AW105">
        <v>0</v>
      </c>
      <c r="AX105">
        <v>-85.624036320000002</v>
      </c>
      <c r="AY105">
        <v>40.774560219999998</v>
      </c>
      <c r="AZ105">
        <f t="shared" si="3"/>
        <v>6</v>
      </c>
      <c r="BA105">
        <f t="shared" si="4"/>
        <v>27</v>
      </c>
      <c r="BB105">
        <f t="shared" si="5"/>
        <v>2024</v>
      </c>
      <c r="BD105" s="19">
        <v>45470</v>
      </c>
    </row>
    <row r="106" spans="1:56" x14ac:dyDescent="0.25">
      <c r="A106" s="25">
        <v>10371</v>
      </c>
      <c r="B106" t="s">
        <v>390</v>
      </c>
      <c r="C106" t="s">
        <v>390</v>
      </c>
      <c r="D106" s="27" t="s">
        <v>490</v>
      </c>
      <c r="E106" s="27">
        <v>6</v>
      </c>
      <c r="F106" s="56"/>
      <c r="G106">
        <v>7900</v>
      </c>
      <c r="H106" t="s">
        <v>19</v>
      </c>
      <c r="I106" t="s">
        <v>8</v>
      </c>
      <c r="J106">
        <v>2.3599999999999999E-2</v>
      </c>
      <c r="K106">
        <v>1.8080000000000001</v>
      </c>
      <c r="L106">
        <v>-3.5999999999999997E-2</v>
      </c>
      <c r="M106">
        <v>0.05</v>
      </c>
      <c r="N106">
        <v>0.40816819826437972</v>
      </c>
      <c r="O106">
        <v>6.9300000000000006</v>
      </c>
      <c r="P106">
        <v>7.7133333333333338</v>
      </c>
      <c r="Q106">
        <v>3.3362305386177491</v>
      </c>
      <c r="R106">
        <v>1.4071063048357479</v>
      </c>
      <c r="S106">
        <v>427.84</v>
      </c>
      <c r="T106">
        <v>516.65700000000004</v>
      </c>
      <c r="U106">
        <v>604.37400000000002</v>
      </c>
      <c r="V106">
        <v>687.221</v>
      </c>
      <c r="W106">
        <v>671.86900000000003</v>
      </c>
      <c r="X106">
        <v>624.60299999999995</v>
      </c>
      <c r="Y106">
        <v>639.971</v>
      </c>
      <c r="Z106">
        <v>688.755</v>
      </c>
      <c r="AA106">
        <v>0.51200000000000001</v>
      </c>
      <c r="AB106">
        <v>740.5</v>
      </c>
      <c r="AC106">
        <v>420.3</v>
      </c>
      <c r="AD106">
        <v>409</v>
      </c>
      <c r="AE106">
        <v>266</v>
      </c>
      <c r="AF106">
        <v>0.19</v>
      </c>
      <c r="AG106">
        <v>407.8</v>
      </c>
      <c r="AH106">
        <v>0.53800000000000003</v>
      </c>
      <c r="AI106">
        <v>0.72599999999999998</v>
      </c>
      <c r="AJ106">
        <v>104.9</v>
      </c>
      <c r="AK106">
        <v>8.44</v>
      </c>
      <c r="AL106">
        <v>107.4</v>
      </c>
      <c r="AM106">
        <v>40.774830000000001</v>
      </c>
      <c r="AN106">
        <v>-85.606139999999996</v>
      </c>
      <c r="AO106">
        <v>232.5</v>
      </c>
      <c r="AP106">
        <v>154.30000000000001</v>
      </c>
      <c r="AQ106">
        <v>8.3000000000000007</v>
      </c>
      <c r="AR106">
        <v>-102.2</v>
      </c>
      <c r="AS106">
        <v>11.9</v>
      </c>
      <c r="AT106">
        <v>0</v>
      </c>
      <c r="AU106">
        <v>26.446999999999999</v>
      </c>
      <c r="AV106">
        <v>4.49</v>
      </c>
      <c r="AW106">
        <v>0</v>
      </c>
      <c r="AX106">
        <v>-85.606134130000001</v>
      </c>
      <c r="AY106">
        <v>40.77494488</v>
      </c>
      <c r="AZ106">
        <f t="shared" si="3"/>
        <v>6</v>
      </c>
      <c r="BA106">
        <f t="shared" si="4"/>
        <v>27</v>
      </c>
      <c r="BB106">
        <f t="shared" si="5"/>
        <v>2024</v>
      </c>
      <c r="BD106" s="19">
        <v>45470</v>
      </c>
    </row>
    <row r="107" spans="1:56" x14ac:dyDescent="0.25">
      <c r="A107" s="25">
        <v>10372</v>
      </c>
      <c r="B107" t="s">
        <v>391</v>
      </c>
      <c r="C107" t="s">
        <v>391</v>
      </c>
      <c r="D107" s="27" t="s">
        <v>491</v>
      </c>
      <c r="E107" s="27">
        <v>7</v>
      </c>
      <c r="F107" s="56"/>
      <c r="G107">
        <v>10610</v>
      </c>
      <c r="H107" t="s">
        <v>19</v>
      </c>
      <c r="I107" t="s">
        <v>8</v>
      </c>
      <c r="J107">
        <v>2.3699999999999999E-2</v>
      </c>
      <c r="K107">
        <v>1.617</v>
      </c>
      <c r="L107">
        <v>-3.7999999999999999E-2</v>
      </c>
      <c r="M107">
        <v>0.05</v>
      </c>
      <c r="N107">
        <v>0.52657273403023397</v>
      </c>
      <c r="O107">
        <v>9.6333333333333346</v>
      </c>
      <c r="P107">
        <v>8.2266666666666666</v>
      </c>
      <c r="Q107">
        <v>3.0659371725941655</v>
      </c>
      <c r="R107">
        <v>1.3354882677004691</v>
      </c>
      <c r="S107">
        <v>407.791</v>
      </c>
      <c r="T107">
        <v>521.04600000000005</v>
      </c>
      <c r="U107">
        <v>625.76</v>
      </c>
      <c r="V107">
        <v>710.45699999999999</v>
      </c>
      <c r="W107">
        <v>682.43499999999995</v>
      </c>
      <c r="X107">
        <v>642.71199999999999</v>
      </c>
      <c r="Y107">
        <v>649.68299999999999</v>
      </c>
      <c r="Z107">
        <v>669.66700000000003</v>
      </c>
      <c r="AA107">
        <v>0.56299999999999994</v>
      </c>
      <c r="AB107">
        <v>740.3</v>
      </c>
      <c r="AC107">
        <v>416.6</v>
      </c>
      <c r="AD107">
        <v>406.1</v>
      </c>
      <c r="AE107">
        <v>264</v>
      </c>
      <c r="AF107">
        <v>0.19</v>
      </c>
      <c r="AG107">
        <v>405</v>
      </c>
      <c r="AH107">
        <v>0.55500000000000005</v>
      </c>
      <c r="AI107">
        <v>0.79900000000000004</v>
      </c>
      <c r="AJ107">
        <v>102.5</v>
      </c>
      <c r="AK107">
        <v>8.26</v>
      </c>
      <c r="AL107">
        <v>104.9</v>
      </c>
      <c r="AM107">
        <v>40.775440000000003</v>
      </c>
      <c r="AN107">
        <v>-85.583349999999996</v>
      </c>
      <c r="AO107">
        <v>231.7</v>
      </c>
      <c r="AP107">
        <v>103.8</v>
      </c>
      <c r="AQ107">
        <v>8.2799999999999994</v>
      </c>
      <c r="AR107">
        <v>-100.7</v>
      </c>
      <c r="AS107">
        <v>11.9</v>
      </c>
      <c r="AT107">
        <v>0</v>
      </c>
      <c r="AU107">
        <v>26.349</v>
      </c>
      <c r="AV107">
        <v>5.58</v>
      </c>
      <c r="AW107">
        <v>0</v>
      </c>
      <c r="AX107">
        <v>-85.580525960000003</v>
      </c>
      <c r="AY107">
        <v>40.775568530000001</v>
      </c>
      <c r="AZ107">
        <f t="shared" si="3"/>
        <v>6</v>
      </c>
      <c r="BA107">
        <f t="shared" si="4"/>
        <v>27</v>
      </c>
      <c r="BB107">
        <f t="shared" si="5"/>
        <v>2024</v>
      </c>
      <c r="BD107" s="19">
        <v>45470</v>
      </c>
    </row>
    <row r="108" spans="1:56" x14ac:dyDescent="0.25">
      <c r="A108" s="25">
        <v>10373</v>
      </c>
      <c r="B108" t="s">
        <v>392</v>
      </c>
      <c r="C108" t="s">
        <v>392</v>
      </c>
      <c r="D108" s="27" t="s">
        <v>492</v>
      </c>
      <c r="E108" s="27">
        <v>8</v>
      </c>
      <c r="F108" s="56"/>
      <c r="G108">
        <v>9370</v>
      </c>
      <c r="H108" t="s">
        <v>19</v>
      </c>
      <c r="I108" t="s">
        <v>8</v>
      </c>
      <c r="J108">
        <v>2.06E-2</v>
      </c>
      <c r="K108">
        <v>1.7430000000000001</v>
      </c>
      <c r="L108">
        <v>-0.04</v>
      </c>
      <c r="M108">
        <v>0.05</v>
      </c>
      <c r="N108">
        <v>0.50390770545922192</v>
      </c>
      <c r="O108">
        <v>17.106666666666669</v>
      </c>
      <c r="P108">
        <v>16.183333333333334</v>
      </c>
      <c r="Q108">
        <v>3.68969109418705</v>
      </c>
      <c r="R108">
        <v>1.5968634972454603</v>
      </c>
      <c r="S108">
        <v>413.11099999999999</v>
      </c>
      <c r="T108">
        <v>510.07499999999999</v>
      </c>
      <c r="U108">
        <v>591.62300000000005</v>
      </c>
      <c r="V108">
        <v>662.22500000000002</v>
      </c>
      <c r="W108">
        <v>645.88199999999995</v>
      </c>
      <c r="X108">
        <v>610.37800000000004</v>
      </c>
      <c r="Y108">
        <v>610.98599999999999</v>
      </c>
      <c r="Z108">
        <v>674.41099999999994</v>
      </c>
      <c r="AA108">
        <v>0.54800000000000004</v>
      </c>
      <c r="AB108">
        <v>740.3</v>
      </c>
      <c r="AC108">
        <v>423.1</v>
      </c>
      <c r="AD108">
        <v>414.1</v>
      </c>
      <c r="AE108">
        <v>269</v>
      </c>
      <c r="AF108">
        <v>0.2</v>
      </c>
      <c r="AG108">
        <v>413.2</v>
      </c>
      <c r="AH108">
        <v>0.52300000000000002</v>
      </c>
      <c r="AI108">
        <v>0.77700000000000002</v>
      </c>
      <c r="AJ108">
        <v>102.2</v>
      </c>
      <c r="AK108">
        <v>8.26</v>
      </c>
      <c r="AL108">
        <v>104.5</v>
      </c>
      <c r="AM108">
        <v>40.766539999999999</v>
      </c>
      <c r="AN108">
        <v>-85.597080000000005</v>
      </c>
      <c r="AO108">
        <v>232.5</v>
      </c>
      <c r="AP108">
        <v>141.1</v>
      </c>
      <c r="AQ108">
        <v>8.26</v>
      </c>
      <c r="AR108">
        <v>-99.5</v>
      </c>
      <c r="AS108">
        <v>12</v>
      </c>
      <c r="AT108">
        <v>0</v>
      </c>
      <c r="AU108">
        <v>26.135999999999999</v>
      </c>
      <c r="AV108">
        <v>3.81</v>
      </c>
      <c r="AW108">
        <v>0</v>
      </c>
      <c r="AX108">
        <v>-85.596868459999996</v>
      </c>
      <c r="AY108">
        <v>40.766858499999998</v>
      </c>
      <c r="AZ108">
        <f t="shared" si="3"/>
        <v>6</v>
      </c>
      <c r="BA108">
        <f t="shared" si="4"/>
        <v>27</v>
      </c>
      <c r="BB108">
        <f t="shared" si="5"/>
        <v>2024</v>
      </c>
      <c r="BD108" s="19">
        <v>45470</v>
      </c>
    </row>
    <row r="109" spans="1:56" x14ac:dyDescent="0.25">
      <c r="A109" s="25">
        <v>10374</v>
      </c>
      <c r="B109" t="s">
        <v>393</v>
      </c>
      <c r="C109" t="s">
        <v>393</v>
      </c>
      <c r="D109" s="27" t="s">
        <v>493</v>
      </c>
      <c r="E109" s="27">
        <v>9</v>
      </c>
      <c r="F109" s="56"/>
      <c r="G109">
        <v>10331</v>
      </c>
      <c r="H109" t="s">
        <v>19</v>
      </c>
      <c r="I109" t="s">
        <v>8</v>
      </c>
      <c r="J109">
        <v>1.2500000000000001E-2</v>
      </c>
      <c r="K109">
        <v>1.7909999999999999</v>
      </c>
      <c r="L109">
        <v>-3.9E-2</v>
      </c>
      <c r="M109">
        <v>0.05</v>
      </c>
      <c r="N109">
        <v>0.79845920158930817</v>
      </c>
      <c r="O109">
        <v>15.343333333333334</v>
      </c>
      <c r="P109">
        <v>21.166666666666668</v>
      </c>
      <c r="Q109">
        <v>3.4999659430358809</v>
      </c>
      <c r="R109">
        <v>1.5332030197918793</v>
      </c>
      <c r="S109">
        <v>289.83199999999999</v>
      </c>
      <c r="T109">
        <v>357.12299999999999</v>
      </c>
      <c r="U109">
        <v>444.19900000000001</v>
      </c>
      <c r="V109">
        <v>503.84500000000003</v>
      </c>
      <c r="W109">
        <v>483.15300000000002</v>
      </c>
      <c r="X109">
        <v>446.95699999999999</v>
      </c>
      <c r="Y109">
        <v>445.83300000000003</v>
      </c>
      <c r="Z109">
        <v>540.31200000000001</v>
      </c>
      <c r="AA109">
        <v>0.53200000000000003</v>
      </c>
      <c r="AB109">
        <v>740.4</v>
      </c>
      <c r="AC109">
        <v>432.2</v>
      </c>
      <c r="AD109">
        <v>422.3</v>
      </c>
      <c r="AE109">
        <v>274</v>
      </c>
      <c r="AF109">
        <v>0.2</v>
      </c>
      <c r="AG109">
        <v>421.2</v>
      </c>
      <c r="AH109">
        <v>0.54400000000000004</v>
      </c>
      <c r="AI109">
        <v>0.754</v>
      </c>
      <c r="AJ109">
        <v>105.1</v>
      </c>
      <c r="AK109">
        <v>8.48</v>
      </c>
      <c r="AL109">
        <v>107.5</v>
      </c>
      <c r="AM109">
        <v>40.756979999999999</v>
      </c>
      <c r="AN109">
        <v>-85.594759999999994</v>
      </c>
      <c r="AO109">
        <v>234.4</v>
      </c>
      <c r="AP109">
        <v>134</v>
      </c>
      <c r="AQ109">
        <v>8.26</v>
      </c>
      <c r="AR109">
        <v>-99.8</v>
      </c>
      <c r="AS109">
        <v>11.9</v>
      </c>
      <c r="AT109">
        <v>0</v>
      </c>
      <c r="AU109">
        <v>26.227</v>
      </c>
      <c r="AV109">
        <v>4.24</v>
      </c>
      <c r="AW109">
        <v>0</v>
      </c>
      <c r="AX109">
        <v>-85.594853409999999</v>
      </c>
      <c r="AY109">
        <v>40.757165809999996</v>
      </c>
      <c r="AZ109">
        <f t="shared" si="3"/>
        <v>6</v>
      </c>
      <c r="BA109">
        <f t="shared" si="4"/>
        <v>27</v>
      </c>
      <c r="BB109">
        <f t="shared" si="5"/>
        <v>2024</v>
      </c>
      <c r="BD109" s="19">
        <v>45470</v>
      </c>
    </row>
    <row r="110" spans="1:56" x14ac:dyDescent="0.25">
      <c r="A110" s="25">
        <v>10375</v>
      </c>
      <c r="B110" t="s">
        <v>394</v>
      </c>
      <c r="C110" t="s">
        <v>394</v>
      </c>
      <c r="D110" s="27" t="s">
        <v>494</v>
      </c>
      <c r="E110" s="27">
        <v>10</v>
      </c>
      <c r="F110" s="56"/>
      <c r="G110">
        <v>11270</v>
      </c>
      <c r="H110" t="s">
        <v>19</v>
      </c>
      <c r="I110" t="s">
        <v>8</v>
      </c>
      <c r="J110">
        <v>3.61E-2</v>
      </c>
      <c r="K110">
        <v>1.831</v>
      </c>
      <c r="L110">
        <v>-0.03</v>
      </c>
      <c r="M110">
        <v>0.05</v>
      </c>
      <c r="N110">
        <v>0.53836416339767168</v>
      </c>
      <c r="O110">
        <v>16.63</v>
      </c>
      <c r="P110">
        <v>13.063333333333333</v>
      </c>
      <c r="Q110">
        <v>3.9516677412560615</v>
      </c>
      <c r="R110">
        <v>1.6741946541522141</v>
      </c>
      <c r="S110">
        <v>201.036</v>
      </c>
      <c r="T110">
        <v>278.286</v>
      </c>
      <c r="U110">
        <v>378.51799999999997</v>
      </c>
      <c r="V110">
        <v>446.995</v>
      </c>
      <c r="W110">
        <v>402.44099999999997</v>
      </c>
      <c r="X110">
        <v>358.47</v>
      </c>
      <c r="Y110">
        <v>367.37200000000001</v>
      </c>
      <c r="Z110">
        <v>386.44900000000001</v>
      </c>
      <c r="AA110">
        <v>0.55800000000000005</v>
      </c>
      <c r="AB110">
        <v>740.5</v>
      </c>
      <c r="AC110">
        <v>458.5</v>
      </c>
      <c r="AD110">
        <v>444.4</v>
      </c>
      <c r="AE110">
        <v>289</v>
      </c>
      <c r="AF110">
        <v>0.21</v>
      </c>
      <c r="AG110">
        <v>442.9</v>
      </c>
      <c r="AH110">
        <v>0.56299999999999994</v>
      </c>
      <c r="AI110">
        <v>0.79200000000000004</v>
      </c>
      <c r="AJ110">
        <v>100.5</v>
      </c>
      <c r="AK110">
        <v>8.0500000000000007</v>
      </c>
      <c r="AL110">
        <v>102.8</v>
      </c>
      <c r="AM110">
        <v>40.755830000000003</v>
      </c>
      <c r="AN110">
        <v>-85.582669999999993</v>
      </c>
      <c r="AO110">
        <v>232.8</v>
      </c>
      <c r="AP110">
        <v>172.5</v>
      </c>
      <c r="AQ110">
        <v>8.07</v>
      </c>
      <c r="AR110">
        <v>-87.9</v>
      </c>
      <c r="AS110">
        <v>11.9</v>
      </c>
      <c r="AT110">
        <v>0</v>
      </c>
      <c r="AU110">
        <v>26.655000000000001</v>
      </c>
      <c r="AV110">
        <v>6.12</v>
      </c>
      <c r="AW110">
        <v>0</v>
      </c>
      <c r="AX110">
        <v>-85.582874129999993</v>
      </c>
      <c r="AY110">
        <v>40.755891669999997</v>
      </c>
      <c r="AZ110">
        <f t="shared" si="3"/>
        <v>6</v>
      </c>
      <c r="BA110">
        <f t="shared" si="4"/>
        <v>27</v>
      </c>
      <c r="BB110">
        <f t="shared" si="5"/>
        <v>2024</v>
      </c>
      <c r="BD110" s="19">
        <v>45470</v>
      </c>
    </row>
    <row r="111" spans="1:56" x14ac:dyDescent="0.25">
      <c r="A111" s="25">
        <v>10376</v>
      </c>
      <c r="B111" t="s">
        <v>395</v>
      </c>
      <c r="C111" t="s">
        <v>395</v>
      </c>
      <c r="D111" s="27" t="s">
        <v>495</v>
      </c>
      <c r="E111" s="27">
        <v>13</v>
      </c>
      <c r="F111" s="56"/>
      <c r="G111">
        <v>5180</v>
      </c>
      <c r="H111" t="s">
        <v>19</v>
      </c>
      <c r="I111" t="s">
        <v>8</v>
      </c>
      <c r="J111">
        <v>6.8999999999999999E-3</v>
      </c>
      <c r="K111">
        <v>2.0219999999999998</v>
      </c>
      <c r="L111">
        <v>-3.2000000000000001E-2</v>
      </c>
      <c r="M111">
        <v>0.05</v>
      </c>
      <c r="N111">
        <v>0.58084984178456001</v>
      </c>
      <c r="O111">
        <v>6.0266666666666664</v>
      </c>
      <c r="P111">
        <v>4.9899999999999993</v>
      </c>
      <c r="Q111">
        <v>3.9527073311253833</v>
      </c>
      <c r="R111">
        <v>1.6639926545602939</v>
      </c>
      <c r="S111">
        <v>312.01100000000002</v>
      </c>
      <c r="T111">
        <v>402.28399999999999</v>
      </c>
      <c r="U111">
        <v>489.56400000000002</v>
      </c>
      <c r="V111">
        <v>564.23699999999997</v>
      </c>
      <c r="W111">
        <v>540.82799999999997</v>
      </c>
      <c r="X111">
        <v>480.53399999999999</v>
      </c>
      <c r="Y111">
        <v>504.93700000000001</v>
      </c>
      <c r="Z111">
        <v>514.221</v>
      </c>
      <c r="AA111">
        <v>0.51600000000000001</v>
      </c>
      <c r="AB111">
        <v>740.6</v>
      </c>
      <c r="AC111">
        <v>398.6</v>
      </c>
      <c r="AD111">
        <v>394.4</v>
      </c>
      <c r="AE111">
        <v>256</v>
      </c>
      <c r="AF111">
        <v>0.19</v>
      </c>
      <c r="AG111">
        <v>393.9</v>
      </c>
      <c r="AH111">
        <v>0.51800000000000002</v>
      </c>
      <c r="AI111">
        <v>0.73199999999999998</v>
      </c>
      <c r="AJ111">
        <v>108.5</v>
      </c>
      <c r="AK111">
        <v>8.86</v>
      </c>
      <c r="AL111">
        <v>111</v>
      </c>
      <c r="AM111">
        <v>40.781059999999997</v>
      </c>
      <c r="AN111">
        <v>-85.637569999999997</v>
      </c>
      <c r="AO111">
        <v>231.2</v>
      </c>
      <c r="AP111">
        <v>137.6</v>
      </c>
      <c r="AQ111">
        <v>8.41</v>
      </c>
      <c r="AR111">
        <v>-108.5</v>
      </c>
      <c r="AS111">
        <v>11.9</v>
      </c>
      <c r="AT111">
        <v>0</v>
      </c>
      <c r="AU111">
        <v>25.56</v>
      </c>
      <c r="AV111">
        <v>5.55</v>
      </c>
      <c r="AW111">
        <v>0</v>
      </c>
      <c r="AX111">
        <v>-85.637500149999994</v>
      </c>
      <c r="AY111">
        <v>40.781062970000001</v>
      </c>
      <c r="AZ111">
        <f t="shared" si="3"/>
        <v>6</v>
      </c>
      <c r="BA111">
        <f t="shared" si="4"/>
        <v>27</v>
      </c>
      <c r="BB111">
        <f t="shared" si="5"/>
        <v>2024</v>
      </c>
      <c r="BD111" s="19">
        <v>45470</v>
      </c>
    </row>
    <row r="112" spans="1:56" x14ac:dyDescent="0.25">
      <c r="A112" s="25">
        <v>10377</v>
      </c>
      <c r="B112" t="s">
        <v>396</v>
      </c>
      <c r="C112" t="s">
        <v>396</v>
      </c>
      <c r="D112" s="27" t="s">
        <v>496</v>
      </c>
      <c r="E112" s="27">
        <v>14</v>
      </c>
      <c r="F112" s="124">
        <v>15</v>
      </c>
      <c r="G112">
        <v>1683</v>
      </c>
      <c r="H112" t="s">
        <v>19</v>
      </c>
      <c r="I112" t="s">
        <v>8</v>
      </c>
      <c r="J112">
        <v>2.8E-3</v>
      </c>
      <c r="K112">
        <v>2.036</v>
      </c>
      <c r="L112">
        <v>-3.4000000000000002E-2</v>
      </c>
      <c r="M112">
        <v>0.05</v>
      </c>
      <c r="N112">
        <v>0.63492242791880182</v>
      </c>
      <c r="O112">
        <v>13.160000000000002</v>
      </c>
      <c r="P112">
        <v>14.813333333333333</v>
      </c>
      <c r="Q112">
        <v>4.0774581154439602</v>
      </c>
      <c r="R112">
        <v>1.74866925117323</v>
      </c>
      <c r="S112">
        <v>357.76499999999999</v>
      </c>
      <c r="T112">
        <v>471.49799999999999</v>
      </c>
      <c r="U112">
        <v>576.65599999999995</v>
      </c>
      <c r="V112">
        <v>657.55100000000004</v>
      </c>
      <c r="W112">
        <v>612.88900000000001</v>
      </c>
      <c r="X112">
        <v>576.92200000000003</v>
      </c>
      <c r="Y112">
        <v>577.197</v>
      </c>
      <c r="Z112">
        <v>591.89700000000005</v>
      </c>
      <c r="AA112">
        <v>0.5</v>
      </c>
      <c r="AB112">
        <v>740.3</v>
      </c>
      <c r="AC112">
        <v>380.5</v>
      </c>
      <c r="AD112">
        <v>372.2</v>
      </c>
      <c r="AE112">
        <v>242</v>
      </c>
      <c r="AF112">
        <v>0.18</v>
      </c>
      <c r="AG112">
        <v>371.3</v>
      </c>
      <c r="AH112">
        <v>0.501</v>
      </c>
      <c r="AI112">
        <v>0.70799999999999996</v>
      </c>
      <c r="AJ112">
        <v>132.9</v>
      </c>
      <c r="AK112">
        <v>10.74</v>
      </c>
      <c r="AL112">
        <v>136</v>
      </c>
      <c r="AM112">
        <v>40.804409999999997</v>
      </c>
      <c r="AN112">
        <v>-85.674229999999994</v>
      </c>
      <c r="AO112">
        <v>231.3</v>
      </c>
      <c r="AP112">
        <v>144</v>
      </c>
      <c r="AQ112">
        <v>8.5500000000000007</v>
      </c>
      <c r="AR112">
        <v>-117.1</v>
      </c>
      <c r="AS112">
        <v>11.9</v>
      </c>
      <c r="AT112">
        <v>0</v>
      </c>
      <c r="AU112">
        <v>26.173999999999999</v>
      </c>
      <c r="AV112">
        <v>5.74</v>
      </c>
      <c r="AW112">
        <v>0</v>
      </c>
      <c r="AX112">
        <v>-85.667890909999997</v>
      </c>
      <c r="AY112">
        <v>40.8002343</v>
      </c>
      <c r="AZ112">
        <f t="shared" si="3"/>
        <v>6</v>
      </c>
      <c r="BA112">
        <f t="shared" si="4"/>
        <v>27</v>
      </c>
      <c r="BB112">
        <f t="shared" si="5"/>
        <v>2024</v>
      </c>
      <c r="BD112" s="19">
        <v>45470</v>
      </c>
    </row>
    <row r="113" spans="1:56" x14ac:dyDescent="0.25">
      <c r="A113" s="25">
        <v>10378</v>
      </c>
      <c r="B113" t="s">
        <v>397</v>
      </c>
      <c r="C113" t="s">
        <v>397</v>
      </c>
      <c r="D113" s="27" t="s">
        <v>497</v>
      </c>
      <c r="E113" s="27">
        <v>1</v>
      </c>
      <c r="F113" s="56"/>
      <c r="G113">
        <v>6865</v>
      </c>
      <c r="H113" t="s">
        <v>18</v>
      </c>
      <c r="I113" t="s">
        <v>8</v>
      </c>
      <c r="J113">
        <v>2.1700000000000001E-2</v>
      </c>
      <c r="K113">
        <v>1.2789999999999999</v>
      </c>
      <c r="L113">
        <v>0.27300000000000002</v>
      </c>
      <c r="M113">
        <v>0.05</v>
      </c>
      <c r="N113">
        <v>0.74295880086724564</v>
      </c>
      <c r="O113">
        <v>9.7166666666666668</v>
      </c>
      <c r="P113">
        <v>6.1333333333333329</v>
      </c>
      <c r="Q113" s="27">
        <v>3.2570382655124992</v>
      </c>
      <c r="R113" s="27">
        <v>1.1785196095460655</v>
      </c>
      <c r="S113" s="27">
        <v>195.71600000000001</v>
      </c>
      <c r="T113" s="27">
        <v>301.577</v>
      </c>
      <c r="U113" s="27">
        <v>402.69900000000001</v>
      </c>
      <c r="V113" s="27">
        <v>428.63299999999998</v>
      </c>
      <c r="W113" s="27">
        <v>400.27100000000002</v>
      </c>
      <c r="X113" s="27">
        <v>373.32400000000001</v>
      </c>
      <c r="Y113" s="27">
        <v>480.73399999999998</v>
      </c>
      <c r="Z113" s="27">
        <v>630.78300000000002</v>
      </c>
      <c r="AA113">
        <v>0.55600000000000005</v>
      </c>
      <c r="AB113">
        <v>751</v>
      </c>
      <c r="AC113">
        <v>574.79999999999995</v>
      </c>
      <c r="AD113">
        <v>573.4</v>
      </c>
      <c r="AE113">
        <v>373</v>
      </c>
      <c r="AF113">
        <v>0.28000000000000003</v>
      </c>
      <c r="AG113">
        <v>573.29999999999995</v>
      </c>
      <c r="AH113">
        <v>0.57099999999999995</v>
      </c>
      <c r="AI113">
        <v>0.78900000000000003</v>
      </c>
      <c r="AJ113">
        <v>147.69999999999999</v>
      </c>
      <c r="AK113">
        <v>12.16</v>
      </c>
      <c r="AL113">
        <v>149.5</v>
      </c>
      <c r="AM113">
        <v>40.834969999999998</v>
      </c>
      <c r="AN113">
        <v>-86.807289999999995</v>
      </c>
      <c r="AO113">
        <v>199.8</v>
      </c>
      <c r="AP113">
        <v>166.4</v>
      </c>
      <c r="AQ113">
        <v>8.02</v>
      </c>
      <c r="AR113">
        <v>-85.5</v>
      </c>
      <c r="AS113">
        <v>11.9</v>
      </c>
      <c r="AT113">
        <v>0</v>
      </c>
      <c r="AU113">
        <v>25.125</v>
      </c>
      <c r="AV113">
        <v>9.33</v>
      </c>
      <c r="AW113">
        <v>0</v>
      </c>
      <c r="AX113">
        <v>-86.807147639999997</v>
      </c>
      <c r="AY113">
        <v>40.835024840000003</v>
      </c>
      <c r="AZ113">
        <f t="shared" si="3"/>
        <v>7</v>
      </c>
      <c r="BA113">
        <f t="shared" si="4"/>
        <v>1</v>
      </c>
      <c r="BB113">
        <f t="shared" si="5"/>
        <v>2024</v>
      </c>
      <c r="BD113" s="19">
        <v>45474</v>
      </c>
    </row>
    <row r="114" spans="1:56" x14ac:dyDescent="0.25">
      <c r="A114" s="25">
        <v>10379</v>
      </c>
      <c r="B114" t="s">
        <v>398</v>
      </c>
      <c r="C114" t="s">
        <v>398</v>
      </c>
      <c r="D114" s="27" t="s">
        <v>498</v>
      </c>
      <c r="E114" s="27">
        <v>5</v>
      </c>
      <c r="F114" s="56"/>
      <c r="G114">
        <v>6425</v>
      </c>
      <c r="H114" t="s">
        <v>18</v>
      </c>
      <c r="I114" t="s">
        <v>8</v>
      </c>
      <c r="J114">
        <v>-5.8200000000000002E-2</v>
      </c>
      <c r="K114">
        <v>2.6379999999999999</v>
      </c>
      <c r="L114">
        <v>0.19500000000000001</v>
      </c>
      <c r="M114">
        <v>0.05</v>
      </c>
      <c r="N114">
        <v>0.59651149987262886</v>
      </c>
      <c r="O114">
        <v>10.56</v>
      </c>
      <c r="P114">
        <v>5.416666666666667</v>
      </c>
      <c r="Q114" s="27">
        <v>3.8910889086643481</v>
      </c>
      <c r="R114" s="27">
        <v>2.2181287165218424</v>
      </c>
      <c r="S114" s="27">
        <v>85.571700000000007</v>
      </c>
      <c r="T114" s="27">
        <v>135.578</v>
      </c>
      <c r="U114" s="27">
        <v>231.28</v>
      </c>
      <c r="V114" s="27">
        <v>264.63099999999997</v>
      </c>
      <c r="W114" s="27">
        <v>241.84399999999999</v>
      </c>
      <c r="X114" s="27">
        <v>195.512</v>
      </c>
      <c r="Y114" s="27">
        <v>286.32499999999999</v>
      </c>
      <c r="Z114" s="27">
        <v>448.17700000000002</v>
      </c>
      <c r="AA114">
        <v>0.56499999999999995</v>
      </c>
      <c r="AB114">
        <v>751.1</v>
      </c>
      <c r="AC114">
        <v>567.5</v>
      </c>
      <c r="AD114">
        <v>569.5</v>
      </c>
      <c r="AE114">
        <v>370</v>
      </c>
      <c r="AF114">
        <v>0.27</v>
      </c>
      <c r="AG114">
        <v>569.70000000000005</v>
      </c>
      <c r="AH114">
        <v>0.55900000000000005</v>
      </c>
      <c r="AI114">
        <v>0.80200000000000005</v>
      </c>
      <c r="AJ114">
        <v>149.30000000000001</v>
      </c>
      <c r="AK114">
        <v>12.36</v>
      </c>
      <c r="AL114">
        <v>151.1</v>
      </c>
      <c r="AM114">
        <v>40.823970000000003</v>
      </c>
      <c r="AN114">
        <v>-86.796040000000005</v>
      </c>
      <c r="AO114">
        <v>199.5</v>
      </c>
      <c r="AP114">
        <v>204.8</v>
      </c>
      <c r="AQ114">
        <v>8.17</v>
      </c>
      <c r="AR114">
        <v>-94.5</v>
      </c>
      <c r="AS114">
        <v>11.9</v>
      </c>
      <c r="AT114">
        <v>0</v>
      </c>
      <c r="AU114">
        <v>24.821999999999999</v>
      </c>
      <c r="AV114">
        <v>5.4</v>
      </c>
      <c r="AW114">
        <v>0</v>
      </c>
      <c r="AX114">
        <v>-86.795836289999997</v>
      </c>
      <c r="AY114">
        <v>40.823874850000003</v>
      </c>
      <c r="AZ114">
        <f t="shared" si="3"/>
        <v>7</v>
      </c>
      <c r="BA114">
        <f t="shared" si="4"/>
        <v>1</v>
      </c>
      <c r="BB114">
        <f t="shared" si="5"/>
        <v>2024</v>
      </c>
      <c r="BD114" s="19">
        <v>45474</v>
      </c>
    </row>
    <row r="115" spans="1:56" x14ac:dyDescent="0.25">
      <c r="A115" s="25">
        <v>10380</v>
      </c>
      <c r="B115" t="s">
        <v>399</v>
      </c>
      <c r="C115" t="s">
        <v>399</v>
      </c>
      <c r="D115" s="27" t="s">
        <v>477</v>
      </c>
      <c r="E115" s="27">
        <v>6</v>
      </c>
      <c r="F115" s="56"/>
      <c r="G115">
        <v>8245</v>
      </c>
      <c r="H115" t="s">
        <v>18</v>
      </c>
      <c r="I115" t="s">
        <v>8</v>
      </c>
      <c r="J115">
        <v>-4.99E-2</v>
      </c>
      <c r="K115">
        <v>4.4740000000000002</v>
      </c>
      <c r="L115">
        <v>0.28499999999999998</v>
      </c>
      <c r="M115">
        <v>0.05</v>
      </c>
      <c r="N115">
        <v>0.60246254113904973</v>
      </c>
      <c r="O115">
        <v>0.57999999999999996</v>
      </c>
      <c r="P115">
        <v>1.1533333333333333</v>
      </c>
      <c r="Q115" s="27">
        <v>3.763166410484589</v>
      </c>
      <c r="R115" s="27">
        <v>3.1356563969214655</v>
      </c>
      <c r="S115" s="27">
        <v>186.167</v>
      </c>
      <c r="T115" s="27">
        <v>281.166</v>
      </c>
      <c r="U115" s="27">
        <v>352.06299999999999</v>
      </c>
      <c r="V115" s="27">
        <v>386.35899999999998</v>
      </c>
      <c r="W115" s="27">
        <v>365.13400000000001</v>
      </c>
      <c r="X115" s="27">
        <v>370.92899999999997</v>
      </c>
      <c r="Y115" s="27">
        <v>353.03500000000003</v>
      </c>
      <c r="Z115" s="27">
        <v>581.73299999999995</v>
      </c>
      <c r="AA115">
        <v>0.49</v>
      </c>
      <c r="AB115">
        <v>750.5</v>
      </c>
      <c r="AC115">
        <v>596.6</v>
      </c>
      <c r="AD115">
        <v>626.5</v>
      </c>
      <c r="AE115">
        <v>407</v>
      </c>
      <c r="AF115">
        <v>0.3</v>
      </c>
      <c r="AG115">
        <v>629.4</v>
      </c>
      <c r="AH115">
        <v>0.51800000000000002</v>
      </c>
      <c r="AI115">
        <v>0.69599999999999995</v>
      </c>
      <c r="AJ115">
        <v>90.8</v>
      </c>
      <c r="AK115">
        <v>7.85</v>
      </c>
      <c r="AL115">
        <v>91.9</v>
      </c>
      <c r="AM115">
        <v>40.834850000000003</v>
      </c>
      <c r="AN115">
        <v>-86.781980000000004</v>
      </c>
      <c r="AO115">
        <v>201.8</v>
      </c>
      <c r="AP115">
        <v>144.4</v>
      </c>
      <c r="AQ115">
        <v>7.87</v>
      </c>
      <c r="AR115">
        <v>-76.400000000000006</v>
      </c>
      <c r="AS115">
        <v>11.9</v>
      </c>
      <c r="AT115">
        <v>0</v>
      </c>
      <c r="AU115">
        <v>22.503</v>
      </c>
      <c r="AV115">
        <v>3.05</v>
      </c>
      <c r="AW115">
        <v>0</v>
      </c>
      <c r="AX115">
        <v>-86.781764559999999</v>
      </c>
      <c r="AY115">
        <v>40.834882550000003</v>
      </c>
      <c r="AZ115">
        <f t="shared" si="3"/>
        <v>7</v>
      </c>
      <c r="BA115">
        <f t="shared" si="4"/>
        <v>1</v>
      </c>
      <c r="BB115">
        <f t="shared" si="5"/>
        <v>2024</v>
      </c>
      <c r="BD115" s="19">
        <v>45474</v>
      </c>
    </row>
    <row r="116" spans="1:56" x14ac:dyDescent="0.25">
      <c r="A116" s="25">
        <v>10381</v>
      </c>
      <c r="B116" t="s">
        <v>400</v>
      </c>
      <c r="C116" t="s">
        <v>400</v>
      </c>
      <c r="D116" s="27" t="s">
        <v>478</v>
      </c>
      <c r="E116" s="27">
        <v>8</v>
      </c>
      <c r="F116" s="56"/>
      <c r="G116">
        <v>5065</v>
      </c>
      <c r="H116" t="s">
        <v>18</v>
      </c>
      <c r="I116" t="s">
        <v>8</v>
      </c>
      <c r="J116">
        <v>-4.24E-2</v>
      </c>
      <c r="K116">
        <v>5.1639999999999997</v>
      </c>
      <c r="L116">
        <v>0.20200000000000001</v>
      </c>
      <c r="M116">
        <v>0.05</v>
      </c>
      <c r="N116">
        <v>0.44388122881878833</v>
      </c>
      <c r="O116">
        <v>1.8266666666666669</v>
      </c>
      <c r="P116">
        <v>1.1433333333333333</v>
      </c>
      <c r="Q116" s="27">
        <v>4.8537941914084621</v>
      </c>
      <c r="R116" s="27">
        <v>4.4002585462648653</v>
      </c>
      <c r="S116" s="27">
        <v>215.15100000000001</v>
      </c>
      <c r="T116" s="27">
        <v>296.26799999999997</v>
      </c>
      <c r="U116" s="27">
        <v>378.29899999999998</v>
      </c>
      <c r="V116" s="27">
        <v>415.85899999999998</v>
      </c>
      <c r="W116" s="27">
        <v>397.23700000000002</v>
      </c>
      <c r="X116" s="27">
        <v>387.19400000000002</v>
      </c>
      <c r="Y116" s="27">
        <v>366.08699999999999</v>
      </c>
      <c r="Z116" s="27">
        <v>548.22</v>
      </c>
      <c r="AA116">
        <v>0.55800000000000005</v>
      </c>
      <c r="AB116">
        <v>751.2</v>
      </c>
      <c r="AC116">
        <v>604.9</v>
      </c>
      <c r="AD116">
        <v>620.1</v>
      </c>
      <c r="AE116">
        <v>403</v>
      </c>
      <c r="AF116">
        <v>0.3</v>
      </c>
      <c r="AG116">
        <v>621.70000000000005</v>
      </c>
      <c r="AH116">
        <v>0.56599999999999995</v>
      </c>
      <c r="AI116">
        <v>0.79100000000000004</v>
      </c>
      <c r="AJ116">
        <v>94.4</v>
      </c>
      <c r="AK116">
        <v>7.98</v>
      </c>
      <c r="AL116">
        <v>95.6</v>
      </c>
      <c r="AM116">
        <v>40.811100000000003</v>
      </c>
      <c r="AN116">
        <v>-86.794470000000004</v>
      </c>
      <c r="AO116">
        <v>198.6</v>
      </c>
      <c r="AP116">
        <v>204.8</v>
      </c>
      <c r="AQ116">
        <v>7.87</v>
      </c>
      <c r="AR116">
        <v>-76.7</v>
      </c>
      <c r="AS116">
        <v>12</v>
      </c>
      <c r="AT116">
        <v>0</v>
      </c>
      <c r="AU116">
        <v>23.715</v>
      </c>
      <c r="AV116">
        <v>4.68</v>
      </c>
      <c r="AW116">
        <v>0</v>
      </c>
      <c r="AX116">
        <v>-86.794299730000006</v>
      </c>
      <c r="AY116">
        <v>40.81108966</v>
      </c>
      <c r="AZ116">
        <f t="shared" si="3"/>
        <v>7</v>
      </c>
      <c r="BA116">
        <f t="shared" si="4"/>
        <v>1</v>
      </c>
      <c r="BB116">
        <f t="shared" si="5"/>
        <v>2024</v>
      </c>
      <c r="BD116" s="19">
        <v>45474</v>
      </c>
    </row>
    <row r="117" spans="1:56" x14ac:dyDescent="0.25">
      <c r="A117" s="25">
        <v>10382</v>
      </c>
      <c r="B117" t="s">
        <v>401</v>
      </c>
      <c r="C117" t="s">
        <v>401</v>
      </c>
      <c r="D117" s="27" t="s">
        <v>479</v>
      </c>
      <c r="E117" s="27">
        <v>9</v>
      </c>
      <c r="F117" s="56"/>
      <c r="G117">
        <v>3385</v>
      </c>
      <c r="H117" t="s">
        <v>18</v>
      </c>
      <c r="I117" t="s">
        <v>8</v>
      </c>
      <c r="J117">
        <v>-5.0200000000000002E-2</v>
      </c>
      <c r="K117">
        <v>4.0819999999999999</v>
      </c>
      <c r="L117">
        <v>0.19500000000000001</v>
      </c>
      <c r="M117">
        <v>0.05</v>
      </c>
      <c r="N117">
        <v>0.60827851725952864</v>
      </c>
      <c r="O117">
        <v>9.4500000000000011</v>
      </c>
      <c r="P117">
        <v>9.5533333333333328</v>
      </c>
      <c r="Q117" s="27">
        <v>4.144405792411618</v>
      </c>
      <c r="R117" s="27">
        <v>2.3422952804114181</v>
      </c>
      <c r="S117" s="27">
        <v>103.834</v>
      </c>
      <c r="T117" s="27">
        <v>162.464</v>
      </c>
      <c r="U117" s="27">
        <v>246.04599999999999</v>
      </c>
      <c r="V117" s="27">
        <v>278.06700000000001</v>
      </c>
      <c r="W117" s="27">
        <v>271.06</v>
      </c>
      <c r="X117" s="27">
        <v>238.23</v>
      </c>
      <c r="Y117" s="27">
        <v>307.75400000000002</v>
      </c>
      <c r="Z117" s="27">
        <v>527.72500000000002</v>
      </c>
      <c r="AA117">
        <v>0.52600000000000002</v>
      </c>
      <c r="AB117">
        <v>751</v>
      </c>
      <c r="AC117">
        <v>597</v>
      </c>
      <c r="AD117">
        <v>606.29999999999995</v>
      </c>
      <c r="AE117">
        <v>394</v>
      </c>
      <c r="AF117">
        <v>0.28999999999999998</v>
      </c>
      <c r="AG117">
        <v>607.29999999999995</v>
      </c>
      <c r="AH117">
        <v>0.52400000000000002</v>
      </c>
      <c r="AI117">
        <v>0.747</v>
      </c>
      <c r="AJ117">
        <v>109.2</v>
      </c>
      <c r="AK117">
        <v>9.14</v>
      </c>
      <c r="AL117">
        <v>110.5</v>
      </c>
      <c r="AM117">
        <v>40.804250000000003</v>
      </c>
      <c r="AN117">
        <v>-86.774860000000004</v>
      </c>
      <c r="AO117">
        <v>202.2</v>
      </c>
      <c r="AP117">
        <v>123.5</v>
      </c>
      <c r="AQ117">
        <v>7.85</v>
      </c>
      <c r="AR117">
        <v>-75.2</v>
      </c>
      <c r="AS117">
        <v>11.9</v>
      </c>
      <c r="AT117">
        <v>0</v>
      </c>
      <c r="AU117">
        <v>24.192</v>
      </c>
      <c r="AV117">
        <v>5.47</v>
      </c>
      <c r="AW117">
        <v>0</v>
      </c>
      <c r="AX117">
        <v>-86.774830640000005</v>
      </c>
      <c r="AY117">
        <v>40.804242270000003</v>
      </c>
      <c r="AZ117">
        <f t="shared" si="3"/>
        <v>7</v>
      </c>
      <c r="BA117">
        <f t="shared" si="4"/>
        <v>1</v>
      </c>
      <c r="BB117">
        <f t="shared" si="5"/>
        <v>2024</v>
      </c>
      <c r="BD117" s="19">
        <v>45474</v>
      </c>
    </row>
    <row r="118" spans="1:56" x14ac:dyDescent="0.25">
      <c r="A118" s="25">
        <v>10383</v>
      </c>
      <c r="B118" t="s">
        <v>402</v>
      </c>
      <c r="C118" t="s">
        <v>402</v>
      </c>
      <c r="D118" s="27" t="s">
        <v>480</v>
      </c>
      <c r="E118" s="27">
        <v>10</v>
      </c>
      <c r="F118" s="56"/>
      <c r="G118">
        <v>2205</v>
      </c>
      <c r="H118" t="s">
        <v>18</v>
      </c>
      <c r="I118" t="s">
        <v>8</v>
      </c>
      <c r="J118">
        <v>-4.0899999999999999E-2</v>
      </c>
      <c r="K118">
        <v>4.9169999999999998</v>
      </c>
      <c r="L118">
        <v>0.17899999999999999</v>
      </c>
      <c r="M118">
        <v>0.05</v>
      </c>
      <c r="N118">
        <v>0.47556762570749589</v>
      </c>
      <c r="O118">
        <v>1.5433333333333332</v>
      </c>
      <c r="P118">
        <v>2.0533333333333332</v>
      </c>
      <c r="Q118" s="27">
        <v>4.0538993608931317</v>
      </c>
      <c r="R118" s="27">
        <v>4.0013246944614664</v>
      </c>
      <c r="S118" s="27">
        <v>187.87299999999999</v>
      </c>
      <c r="T118" s="27">
        <v>281.20400000000001</v>
      </c>
      <c r="U118" s="27">
        <v>355.51299999999998</v>
      </c>
      <c r="V118" s="27">
        <v>382.827</v>
      </c>
      <c r="W118" s="27">
        <v>368.95499999999998</v>
      </c>
      <c r="X118" s="27">
        <v>361.84</v>
      </c>
      <c r="Y118" s="27">
        <v>346.42700000000002</v>
      </c>
      <c r="Z118" s="27">
        <v>472.57299999999998</v>
      </c>
      <c r="AA118">
        <v>0.54200000000000004</v>
      </c>
      <c r="AB118">
        <v>751.3</v>
      </c>
      <c r="AC118">
        <v>596.70000000000005</v>
      </c>
      <c r="AD118">
        <v>610.29999999999995</v>
      </c>
      <c r="AE118">
        <v>397</v>
      </c>
      <c r="AF118">
        <v>0.3</v>
      </c>
      <c r="AG118">
        <v>611.6</v>
      </c>
      <c r="AH118">
        <v>0.55200000000000005</v>
      </c>
      <c r="AI118">
        <v>0.76900000000000002</v>
      </c>
      <c r="AJ118">
        <v>91</v>
      </c>
      <c r="AK118">
        <v>7.67</v>
      </c>
      <c r="AL118">
        <v>92.1</v>
      </c>
      <c r="AM118">
        <v>40.794800000000002</v>
      </c>
      <c r="AN118">
        <v>-86.774460000000005</v>
      </c>
      <c r="AO118">
        <v>197.2</v>
      </c>
      <c r="AP118">
        <v>187.6</v>
      </c>
      <c r="AQ118">
        <v>7.82</v>
      </c>
      <c r="AR118">
        <v>-73.3</v>
      </c>
      <c r="AS118">
        <v>11.9</v>
      </c>
      <c r="AT118">
        <v>0</v>
      </c>
      <c r="AU118">
        <v>23.838999999999999</v>
      </c>
      <c r="AV118">
        <v>5.23</v>
      </c>
      <c r="AW118">
        <v>0</v>
      </c>
      <c r="AX118">
        <v>-86.774344880000001</v>
      </c>
      <c r="AY118">
        <v>40.794689409999997</v>
      </c>
      <c r="AZ118">
        <f t="shared" si="3"/>
        <v>7</v>
      </c>
      <c r="BA118">
        <f t="shared" si="4"/>
        <v>1</v>
      </c>
      <c r="BB118">
        <f t="shared" si="5"/>
        <v>2024</v>
      </c>
      <c r="BD118" s="19">
        <v>45474</v>
      </c>
    </row>
    <row r="119" spans="1:56" x14ac:dyDescent="0.25">
      <c r="A119" s="25">
        <v>10384</v>
      </c>
      <c r="B119" t="s">
        <v>403</v>
      </c>
      <c r="C119" t="s">
        <v>403</v>
      </c>
      <c r="D119" s="27" t="s">
        <v>481</v>
      </c>
      <c r="E119" s="27">
        <v>11</v>
      </c>
      <c r="F119" s="56"/>
      <c r="G119">
        <v>1385</v>
      </c>
      <c r="H119" t="s">
        <v>18</v>
      </c>
      <c r="I119" t="s">
        <v>8</v>
      </c>
      <c r="J119">
        <v>-6.3100000000000003E-2</v>
      </c>
      <c r="K119">
        <v>4.0279999999999996</v>
      </c>
      <c r="L119">
        <v>0.21199999999999999</v>
      </c>
      <c r="M119">
        <v>0.05</v>
      </c>
      <c r="N119">
        <v>0.50983272905435539</v>
      </c>
      <c r="O119">
        <v>18.516666666666666</v>
      </c>
      <c r="P119">
        <v>12.319999999999999</v>
      </c>
      <c r="Q119" s="27">
        <v>5.0636275382250631</v>
      </c>
      <c r="R119" s="27">
        <v>2.6683838512330134</v>
      </c>
      <c r="S119" s="27">
        <v>127.538</v>
      </c>
      <c r="T119" s="27">
        <v>183.20400000000001</v>
      </c>
      <c r="U119" s="27">
        <v>259.88</v>
      </c>
      <c r="V119" s="27">
        <v>285.40499999999997</v>
      </c>
      <c r="W119" s="27">
        <v>269.34100000000001</v>
      </c>
      <c r="X119" s="27">
        <v>257.36099999999999</v>
      </c>
      <c r="Y119" s="27">
        <v>297.18700000000001</v>
      </c>
      <c r="Z119" s="27">
        <v>466.63900000000001</v>
      </c>
      <c r="AA119">
        <v>0.56000000000000005</v>
      </c>
      <c r="AB119">
        <v>751.3</v>
      </c>
      <c r="AC119">
        <v>598.29999999999995</v>
      </c>
      <c r="AD119">
        <v>612.4</v>
      </c>
      <c r="AE119">
        <v>398</v>
      </c>
      <c r="AF119">
        <v>0.3</v>
      </c>
      <c r="AG119">
        <v>613.79999999999995</v>
      </c>
      <c r="AH119">
        <v>0.54600000000000004</v>
      </c>
      <c r="AI119">
        <v>0.79400000000000004</v>
      </c>
      <c r="AJ119">
        <v>104.1</v>
      </c>
      <c r="AK119">
        <v>8.7899999999999991</v>
      </c>
      <c r="AL119">
        <v>105.4</v>
      </c>
      <c r="AM119">
        <v>40.788670000000003</v>
      </c>
      <c r="AN119">
        <v>-86.772239999999996</v>
      </c>
      <c r="AO119">
        <v>197.5</v>
      </c>
      <c r="AP119">
        <v>168.7</v>
      </c>
      <c r="AQ119">
        <v>7.89</v>
      </c>
      <c r="AR119">
        <v>-77.900000000000006</v>
      </c>
      <c r="AS119">
        <v>11.9</v>
      </c>
      <c r="AT119">
        <v>0</v>
      </c>
      <c r="AU119">
        <v>23.797000000000001</v>
      </c>
      <c r="AV119">
        <v>4.2699999999999996</v>
      </c>
      <c r="AW119">
        <v>0</v>
      </c>
      <c r="AX119">
        <v>-86.772130180000005</v>
      </c>
      <c r="AY119">
        <v>40.78862204</v>
      </c>
      <c r="AZ119">
        <f t="shared" si="3"/>
        <v>7</v>
      </c>
      <c r="BA119">
        <f t="shared" si="4"/>
        <v>1</v>
      </c>
      <c r="BB119">
        <f t="shared" si="5"/>
        <v>2024</v>
      </c>
      <c r="BD119" s="19">
        <v>45474</v>
      </c>
    </row>
    <row r="120" spans="1:56" x14ac:dyDescent="0.25">
      <c r="A120" s="25">
        <v>10385</v>
      </c>
      <c r="B120" t="s">
        <v>404</v>
      </c>
      <c r="C120" t="s">
        <v>404</v>
      </c>
      <c r="D120" s="27" t="s">
        <v>482</v>
      </c>
      <c r="E120" s="27">
        <v>12</v>
      </c>
      <c r="F120" s="56"/>
      <c r="G120">
        <v>275</v>
      </c>
      <c r="H120" t="s">
        <v>18</v>
      </c>
      <c r="I120" t="s">
        <v>8</v>
      </c>
      <c r="J120">
        <v>-6.0299999999999999E-2</v>
      </c>
      <c r="K120">
        <v>4.9180000000000001</v>
      </c>
      <c r="L120">
        <v>0.34</v>
      </c>
      <c r="M120">
        <v>0.05</v>
      </c>
      <c r="N120">
        <v>0.45757771565448979</v>
      </c>
      <c r="O120">
        <v>10.733333333333334</v>
      </c>
      <c r="P120">
        <v>11.993333333333334</v>
      </c>
      <c r="Q120" s="27">
        <v>5.2412695844457033</v>
      </c>
      <c r="R120" s="27">
        <v>3.9342639879620585</v>
      </c>
      <c r="S120" s="27">
        <v>121.176</v>
      </c>
      <c r="T120" s="27">
        <v>166.46799999999999</v>
      </c>
      <c r="U120" s="27">
        <v>245.40199999999999</v>
      </c>
      <c r="V120" s="27">
        <v>272.774</v>
      </c>
      <c r="W120" s="27">
        <v>255.06800000000001</v>
      </c>
      <c r="X120" s="27">
        <v>232.709</v>
      </c>
      <c r="Y120" s="27">
        <v>269.12200000000001</v>
      </c>
      <c r="Z120" s="27">
        <v>408.346</v>
      </c>
      <c r="AA120">
        <v>0.55200000000000005</v>
      </c>
      <c r="AB120">
        <v>751.2</v>
      </c>
      <c r="AC120">
        <v>602.20000000000005</v>
      </c>
      <c r="AD120">
        <v>614.5</v>
      </c>
      <c r="AE120">
        <v>399</v>
      </c>
      <c r="AF120">
        <v>0.3</v>
      </c>
      <c r="AG120">
        <v>615.79999999999995</v>
      </c>
      <c r="AH120">
        <v>0.55400000000000005</v>
      </c>
      <c r="AI120">
        <v>0.78300000000000003</v>
      </c>
      <c r="AJ120">
        <v>95.1</v>
      </c>
      <c r="AK120">
        <v>8</v>
      </c>
      <c r="AL120">
        <v>96.3</v>
      </c>
      <c r="AM120">
        <v>40.782510000000002</v>
      </c>
      <c r="AN120">
        <v>-86.762309999999999</v>
      </c>
      <c r="AO120">
        <v>196.9</v>
      </c>
      <c r="AP120">
        <v>200.3</v>
      </c>
      <c r="AQ120">
        <v>7.83</v>
      </c>
      <c r="AR120">
        <v>-74.2</v>
      </c>
      <c r="AS120">
        <v>11.9</v>
      </c>
      <c r="AT120">
        <v>0</v>
      </c>
      <c r="AU120">
        <v>23.95</v>
      </c>
      <c r="AV120">
        <v>4.88</v>
      </c>
      <c r="AW120">
        <v>0</v>
      </c>
      <c r="AX120">
        <v>-86.762205379999997</v>
      </c>
      <c r="AY120">
        <v>40.782380209999999</v>
      </c>
      <c r="AZ120">
        <f t="shared" si="3"/>
        <v>7</v>
      </c>
      <c r="BA120">
        <f t="shared" si="4"/>
        <v>1</v>
      </c>
      <c r="BB120">
        <f t="shared" si="5"/>
        <v>2024</v>
      </c>
      <c r="BD120" s="19">
        <v>45474</v>
      </c>
    </row>
    <row r="121" spans="1:56" x14ac:dyDescent="0.25">
      <c r="A121" s="25">
        <v>10386</v>
      </c>
      <c r="B121" t="s">
        <v>405</v>
      </c>
      <c r="C121" t="s">
        <v>405</v>
      </c>
      <c r="D121" s="27" t="s">
        <v>483</v>
      </c>
      <c r="E121" s="27">
        <v>14</v>
      </c>
      <c r="F121" s="56"/>
      <c r="G121">
        <v>4225</v>
      </c>
      <c r="H121" t="s">
        <v>18</v>
      </c>
      <c r="I121" t="s">
        <v>8</v>
      </c>
      <c r="J121">
        <v>-4.9099999999999998E-2</v>
      </c>
      <c r="K121">
        <v>4.7300000000000004</v>
      </c>
      <c r="L121">
        <v>0.253</v>
      </c>
      <c r="M121">
        <v>0.05</v>
      </c>
      <c r="N121">
        <v>0.76773116934302532</v>
      </c>
      <c r="O121">
        <v>0.51333333333333331</v>
      </c>
      <c r="P121">
        <v>0.92</v>
      </c>
      <c r="Q121" s="27">
        <v>4.0372138176522938</v>
      </c>
      <c r="R121" s="27">
        <v>3.6502144758788089</v>
      </c>
      <c r="S121" s="27">
        <v>226.84899999999999</v>
      </c>
      <c r="T121" s="27">
        <v>341.63600000000002</v>
      </c>
      <c r="U121" s="27">
        <v>426.637</v>
      </c>
      <c r="V121" s="27">
        <v>459.41300000000001</v>
      </c>
      <c r="W121" s="27">
        <v>443.16199999999998</v>
      </c>
      <c r="X121" s="27">
        <v>447.13</v>
      </c>
      <c r="Y121" s="27">
        <v>422.68299999999999</v>
      </c>
      <c r="Z121" s="27">
        <v>597.37900000000002</v>
      </c>
      <c r="AA121">
        <v>0.58599999999999997</v>
      </c>
      <c r="AB121">
        <v>751.1</v>
      </c>
      <c r="AC121">
        <v>594.29999999999995</v>
      </c>
      <c r="AD121">
        <v>610.9</v>
      </c>
      <c r="AE121">
        <v>397</v>
      </c>
      <c r="AF121">
        <v>0.3</v>
      </c>
      <c r="AG121">
        <v>612.6</v>
      </c>
      <c r="AH121">
        <v>0.57199999999999995</v>
      </c>
      <c r="AI121">
        <v>0.83099999999999996</v>
      </c>
      <c r="AJ121">
        <v>92.1</v>
      </c>
      <c r="AK121">
        <v>7.8</v>
      </c>
      <c r="AL121">
        <v>93.2</v>
      </c>
      <c r="AM121">
        <v>40.80735</v>
      </c>
      <c r="AN121">
        <v>-86.785340000000005</v>
      </c>
      <c r="AO121">
        <v>200.3</v>
      </c>
      <c r="AP121">
        <v>186.6</v>
      </c>
      <c r="AQ121">
        <v>7.86</v>
      </c>
      <c r="AR121">
        <v>-76</v>
      </c>
      <c r="AS121">
        <v>12</v>
      </c>
      <c r="AT121">
        <v>0</v>
      </c>
      <c r="AU121">
        <v>23.577000000000002</v>
      </c>
      <c r="AV121">
        <v>6.2</v>
      </c>
      <c r="AW121">
        <v>0</v>
      </c>
      <c r="AX121">
        <v>-86.785247049999995</v>
      </c>
      <c r="AY121">
        <v>40.807313710000003</v>
      </c>
      <c r="AZ121">
        <f t="shared" si="3"/>
        <v>7</v>
      </c>
      <c r="BA121">
        <f t="shared" si="4"/>
        <v>1</v>
      </c>
      <c r="BB121">
        <f t="shared" si="5"/>
        <v>2024</v>
      </c>
      <c r="BD121" s="19">
        <v>45474</v>
      </c>
    </row>
    <row r="122" spans="1:56" x14ac:dyDescent="0.25">
      <c r="A122" s="25">
        <v>10387</v>
      </c>
      <c r="B122" t="s">
        <v>406</v>
      </c>
      <c r="C122" t="s">
        <v>406</v>
      </c>
      <c r="D122" s="27" t="s">
        <v>484</v>
      </c>
      <c r="E122" s="27">
        <v>15</v>
      </c>
      <c r="F122" s="56"/>
      <c r="G122">
        <v>2905</v>
      </c>
      <c r="H122" t="s">
        <v>18</v>
      </c>
      <c r="I122" t="s">
        <v>8</v>
      </c>
      <c r="J122">
        <v>-4.0899999999999999E-2</v>
      </c>
      <c r="K122">
        <v>5.3150000000000004</v>
      </c>
      <c r="L122">
        <v>0.19700000000000001</v>
      </c>
      <c r="M122">
        <v>0.05</v>
      </c>
      <c r="N122">
        <v>0.63932817814465104</v>
      </c>
      <c r="O122">
        <v>4.7633333333333328</v>
      </c>
      <c r="P122">
        <v>3.1733333333333333</v>
      </c>
      <c r="Q122" s="27">
        <v>4.6271067605102081</v>
      </c>
      <c r="R122" s="27">
        <v>4.6888146454448654</v>
      </c>
      <c r="S122" s="27">
        <v>317.77199999999999</v>
      </c>
      <c r="T122" s="27">
        <v>460.12299999999999</v>
      </c>
      <c r="U122" s="27">
        <v>536.90200000000004</v>
      </c>
      <c r="V122" s="27">
        <v>578.19899999999996</v>
      </c>
      <c r="W122" s="27">
        <v>553.40599999999995</v>
      </c>
      <c r="X122" s="27">
        <v>568.94600000000003</v>
      </c>
      <c r="Y122" s="27">
        <v>536.82100000000003</v>
      </c>
      <c r="Z122" s="27">
        <v>654.67899999999997</v>
      </c>
      <c r="AA122">
        <v>0.56799999999999995</v>
      </c>
      <c r="AB122">
        <v>751</v>
      </c>
      <c r="AC122">
        <v>595.4</v>
      </c>
      <c r="AD122">
        <v>609.29999999999995</v>
      </c>
      <c r="AE122">
        <v>396</v>
      </c>
      <c r="AF122">
        <v>0.28999999999999998</v>
      </c>
      <c r="AG122">
        <v>610.70000000000005</v>
      </c>
      <c r="AH122">
        <v>0.56499999999999995</v>
      </c>
      <c r="AI122">
        <v>0.80600000000000005</v>
      </c>
      <c r="AJ122">
        <v>93.6</v>
      </c>
      <c r="AK122">
        <v>7.9</v>
      </c>
      <c r="AL122">
        <v>94.7</v>
      </c>
      <c r="AM122">
        <v>40.79936</v>
      </c>
      <c r="AN122">
        <v>-86.777950000000004</v>
      </c>
      <c r="AO122">
        <v>201.1</v>
      </c>
      <c r="AP122">
        <v>125.7</v>
      </c>
      <c r="AQ122">
        <v>7.85</v>
      </c>
      <c r="AR122">
        <v>-75.2</v>
      </c>
      <c r="AS122">
        <v>11.9</v>
      </c>
      <c r="AT122">
        <v>0</v>
      </c>
      <c r="AU122">
        <v>23.8</v>
      </c>
      <c r="AV122">
        <v>4.12</v>
      </c>
      <c r="AW122">
        <v>0</v>
      </c>
      <c r="AX122">
        <v>-86.777779629999998</v>
      </c>
      <c r="AY122">
        <v>40.799243930000003</v>
      </c>
      <c r="AZ122">
        <f t="shared" si="3"/>
        <v>7</v>
      </c>
      <c r="BA122">
        <f t="shared" si="4"/>
        <v>1</v>
      </c>
      <c r="BB122">
        <f t="shared" si="5"/>
        <v>2024</v>
      </c>
      <c r="BD122" s="19">
        <v>45474</v>
      </c>
    </row>
    <row r="123" spans="1:56" x14ac:dyDescent="0.25">
      <c r="A123" s="25">
        <v>10388</v>
      </c>
      <c r="B123" t="s">
        <v>407</v>
      </c>
      <c r="C123" t="s">
        <v>407</v>
      </c>
      <c r="D123" s="27" t="s">
        <v>499</v>
      </c>
      <c r="E123" s="27">
        <v>9</v>
      </c>
      <c r="F123" s="56"/>
      <c r="G123" s="56"/>
      <c r="H123" t="s">
        <v>17</v>
      </c>
      <c r="I123" t="s">
        <v>9</v>
      </c>
      <c r="J123">
        <v>1.95E-2</v>
      </c>
      <c r="K123">
        <v>5.14</v>
      </c>
      <c r="L123">
        <v>0.30299999999999999</v>
      </c>
      <c r="N123">
        <v>0.34504367758120047</v>
      </c>
      <c r="O123">
        <v>3.6833333333333336</v>
      </c>
      <c r="P123">
        <v>4.9200000000000008</v>
      </c>
      <c r="Q123">
        <v>3.0253931676906278</v>
      </c>
      <c r="R123">
        <v>2.2658426171529622</v>
      </c>
      <c r="AZ123">
        <f t="shared" si="3"/>
        <v>7</v>
      </c>
      <c r="BA123">
        <f t="shared" si="4"/>
        <v>11</v>
      </c>
      <c r="BB123">
        <f t="shared" si="5"/>
        <v>2024</v>
      </c>
      <c r="BD123" s="19">
        <v>45484</v>
      </c>
    </row>
    <row r="124" spans="1:56" x14ac:dyDescent="0.25">
      <c r="A124" s="25">
        <v>10389</v>
      </c>
      <c r="B124" t="s">
        <v>408</v>
      </c>
      <c r="C124" t="s">
        <v>408</v>
      </c>
      <c r="D124" s="27" t="s">
        <v>500</v>
      </c>
      <c r="E124" s="27">
        <v>10</v>
      </c>
      <c r="F124" s="56"/>
      <c r="G124" s="56"/>
      <c r="H124" t="s">
        <v>17</v>
      </c>
      <c r="I124" t="s">
        <v>9</v>
      </c>
      <c r="J124">
        <v>4.5699999999999998E-2</v>
      </c>
      <c r="K124">
        <v>5.8310000000000004</v>
      </c>
      <c r="L124">
        <v>0.314</v>
      </c>
      <c r="N124">
        <v>0.33197983238835527</v>
      </c>
      <c r="O124">
        <v>6.5166666666666666</v>
      </c>
      <c r="P124">
        <v>10.293333333333335</v>
      </c>
      <c r="Q124">
        <v>3.2255142175350122</v>
      </c>
      <c r="R124">
        <v>3.6035968169761272</v>
      </c>
      <c r="AZ124">
        <f t="shared" si="3"/>
        <v>7</v>
      </c>
      <c r="BA124">
        <f t="shared" si="4"/>
        <v>11</v>
      </c>
      <c r="BB124">
        <f t="shared" si="5"/>
        <v>2024</v>
      </c>
      <c r="BD124" s="19">
        <v>45484</v>
      </c>
    </row>
    <row r="125" spans="1:56" x14ac:dyDescent="0.25">
      <c r="A125" s="25">
        <v>10390</v>
      </c>
      <c r="B125" t="s">
        <v>409</v>
      </c>
      <c r="C125" t="s">
        <v>409</v>
      </c>
      <c r="D125" s="27" t="s">
        <v>501</v>
      </c>
      <c r="E125" s="27">
        <v>11</v>
      </c>
      <c r="F125" s="56"/>
      <c r="G125" s="56"/>
      <c r="H125" t="s">
        <v>17</v>
      </c>
      <c r="I125" t="s">
        <v>9</v>
      </c>
      <c r="J125">
        <v>2.5600000000000001E-2</v>
      </c>
      <c r="K125">
        <v>5.875</v>
      </c>
      <c r="L125">
        <v>0.30199999999999999</v>
      </c>
      <c r="M125">
        <v>0.33090101522842641</v>
      </c>
      <c r="N125">
        <v>0.37335709165273034</v>
      </c>
      <c r="O125">
        <v>5.6366666666666667</v>
      </c>
      <c r="P125">
        <v>7.286666666666668</v>
      </c>
      <c r="Q125">
        <v>11.753789710513725</v>
      </c>
      <c r="R125">
        <v>1.5968634972454605</v>
      </c>
      <c r="AZ125">
        <f t="shared" si="3"/>
        <v>7</v>
      </c>
      <c r="BA125">
        <f t="shared" si="4"/>
        <v>11</v>
      </c>
      <c r="BB125">
        <f t="shared" si="5"/>
        <v>2024</v>
      </c>
      <c r="BD125" s="19">
        <v>45484</v>
      </c>
    </row>
    <row r="126" spans="1:56" x14ac:dyDescent="0.25">
      <c r="A126" s="25">
        <v>10391</v>
      </c>
      <c r="B126" t="s">
        <v>410</v>
      </c>
      <c r="C126" t="s">
        <v>410</v>
      </c>
      <c r="D126" s="27" t="s">
        <v>502</v>
      </c>
      <c r="E126" s="27">
        <v>12</v>
      </c>
      <c r="F126" s="56"/>
      <c r="G126" s="56"/>
      <c r="H126" t="s">
        <v>17</v>
      </c>
      <c r="I126" t="s">
        <v>9</v>
      </c>
      <c r="J126">
        <v>0.12230000000000001</v>
      </c>
      <c r="K126">
        <v>3.33</v>
      </c>
      <c r="L126">
        <v>0.28399999999999997</v>
      </c>
      <c r="M126">
        <v>0.24206852791878175</v>
      </c>
      <c r="N126">
        <v>0.46692141347924859</v>
      </c>
      <c r="O126">
        <v>10.936666666666667</v>
      </c>
      <c r="P126">
        <v>9.2466666666666661</v>
      </c>
      <c r="Q126" s="112">
        <v>299.14840908443529</v>
      </c>
      <c r="R126">
        <v>3.3624215466231382</v>
      </c>
      <c r="AZ126">
        <f t="shared" si="3"/>
        <v>7</v>
      </c>
      <c r="BA126">
        <f t="shared" si="4"/>
        <v>11</v>
      </c>
      <c r="BB126">
        <f t="shared" si="5"/>
        <v>2024</v>
      </c>
      <c r="BD126" s="19">
        <v>45484</v>
      </c>
    </row>
    <row r="127" spans="1:56" x14ac:dyDescent="0.25">
      <c r="A127" s="25">
        <v>10392</v>
      </c>
      <c r="B127" t="s">
        <v>411</v>
      </c>
      <c r="C127" t="s">
        <v>411</v>
      </c>
      <c r="D127" s="27" t="s">
        <v>498</v>
      </c>
      <c r="E127" s="27">
        <v>5</v>
      </c>
      <c r="F127" s="56"/>
      <c r="G127">
        <v>6425</v>
      </c>
      <c r="H127" t="s">
        <v>18</v>
      </c>
      <c r="I127" t="s">
        <v>8</v>
      </c>
      <c r="J127">
        <v>0.1135</v>
      </c>
      <c r="K127">
        <v>5.5880000000000001</v>
      </c>
      <c r="L127">
        <v>0.34399999999999997</v>
      </c>
      <c r="M127">
        <v>0.05</v>
      </c>
      <c r="N127">
        <v>0.43651461146073567</v>
      </c>
      <c r="O127">
        <v>5.3049999999999997</v>
      </c>
      <c r="P127">
        <v>10.309999999999999</v>
      </c>
      <c r="Q127" s="27">
        <v>3.9984494242644879</v>
      </c>
      <c r="R127" s="27">
        <v>3.0698736778077036</v>
      </c>
      <c r="S127" s="27">
        <v>349.87099999999998</v>
      </c>
      <c r="T127" s="27">
        <v>390.93400000000003</v>
      </c>
      <c r="U127" s="27">
        <v>379.166</v>
      </c>
      <c r="V127" s="27">
        <v>382.06200000000001</v>
      </c>
      <c r="W127" s="27">
        <v>386.79</v>
      </c>
      <c r="X127" s="27">
        <v>372.00799999999998</v>
      </c>
      <c r="Y127" s="27">
        <v>383.84100000000001</v>
      </c>
      <c r="Z127" s="27">
        <v>647.30499999999995</v>
      </c>
      <c r="AA127">
        <v>0.51300000000000001</v>
      </c>
      <c r="AB127">
        <v>742</v>
      </c>
      <c r="AC127">
        <v>516.79999999999995</v>
      </c>
      <c r="AD127">
        <v>520.20000000000005</v>
      </c>
      <c r="AE127">
        <v>338</v>
      </c>
      <c r="AF127">
        <v>0.25</v>
      </c>
      <c r="AG127">
        <v>520.6</v>
      </c>
      <c r="AH127">
        <v>0.51</v>
      </c>
      <c r="AI127">
        <v>0.72799999999999998</v>
      </c>
      <c r="AJ127">
        <v>57.5</v>
      </c>
      <c r="AK127">
        <v>4.7699999999999996</v>
      </c>
      <c r="AL127">
        <v>58.9</v>
      </c>
      <c r="AM127">
        <v>40.823889999999999</v>
      </c>
      <c r="AN127">
        <v>-86.795730000000006</v>
      </c>
      <c r="AO127">
        <v>201.3</v>
      </c>
      <c r="AP127">
        <v>147.69999999999999</v>
      </c>
      <c r="AQ127">
        <v>7.26</v>
      </c>
      <c r="AR127">
        <v>-38.5</v>
      </c>
      <c r="AS127">
        <v>11.9</v>
      </c>
      <c r="AT127">
        <v>0</v>
      </c>
      <c r="AU127">
        <v>24.654</v>
      </c>
      <c r="AV127">
        <v>3.43</v>
      </c>
      <c r="AW127">
        <v>0</v>
      </c>
      <c r="AX127">
        <v>-86.795836289999997</v>
      </c>
      <c r="AY127">
        <v>40.823874850000003</v>
      </c>
      <c r="AZ127">
        <f t="shared" si="3"/>
        <v>7</v>
      </c>
      <c r="BA127">
        <f t="shared" si="4"/>
        <v>17</v>
      </c>
      <c r="BB127">
        <f t="shared" si="5"/>
        <v>2024</v>
      </c>
      <c r="BD127" s="19">
        <v>45490</v>
      </c>
    </row>
    <row r="128" spans="1:56" x14ac:dyDescent="0.25">
      <c r="A128" s="25">
        <v>10393</v>
      </c>
      <c r="B128" t="s">
        <v>412</v>
      </c>
      <c r="C128" t="s">
        <v>412</v>
      </c>
      <c r="D128" s="27" t="s">
        <v>477</v>
      </c>
      <c r="E128" s="27">
        <v>6</v>
      </c>
      <c r="F128" s="56"/>
      <c r="G128">
        <v>8245</v>
      </c>
      <c r="H128" t="s">
        <v>18</v>
      </c>
      <c r="I128" t="s">
        <v>8</v>
      </c>
      <c r="J128">
        <v>4.0399999999999998E-2</v>
      </c>
      <c r="K128">
        <v>5.1269999999999998</v>
      </c>
      <c r="L128">
        <v>0.27200000000000002</v>
      </c>
      <c r="N128">
        <v>0.52367660752160261</v>
      </c>
      <c r="O128">
        <v>2.2925</v>
      </c>
      <c r="P128">
        <v>6.9524999999999997</v>
      </c>
      <c r="Q128" s="27">
        <v>6.2149300218428944</v>
      </c>
      <c r="R128" s="27">
        <v>3.1854979049616476</v>
      </c>
      <c r="S128" s="27">
        <v>419.40899999999999</v>
      </c>
      <c r="T128" s="27">
        <v>447.709</v>
      </c>
      <c r="U128" s="27">
        <v>446.31799999999998</v>
      </c>
      <c r="V128" s="27">
        <v>448.16800000000001</v>
      </c>
      <c r="W128" s="27">
        <v>462.43299999999999</v>
      </c>
      <c r="X128" s="27">
        <v>452.48500000000001</v>
      </c>
      <c r="Y128" s="27">
        <v>461.61700000000002</v>
      </c>
      <c r="Z128" s="27">
        <v>706.16499999999996</v>
      </c>
      <c r="AA128">
        <v>0.40899999999999997</v>
      </c>
      <c r="AB128">
        <v>742</v>
      </c>
      <c r="AC128">
        <v>464.4</v>
      </c>
      <c r="AD128">
        <v>480.4</v>
      </c>
      <c r="AE128">
        <v>312</v>
      </c>
      <c r="AF128">
        <v>0.23</v>
      </c>
      <c r="AG128">
        <v>482</v>
      </c>
      <c r="AH128">
        <v>0.34399999999999997</v>
      </c>
      <c r="AI128">
        <v>0.57999999999999996</v>
      </c>
      <c r="AJ128">
        <v>63.2</v>
      </c>
      <c r="AK128">
        <v>5.39</v>
      </c>
      <c r="AL128">
        <v>64.8</v>
      </c>
      <c r="AM128">
        <v>40.835009999999997</v>
      </c>
      <c r="AN128">
        <v>-86.781809999999993</v>
      </c>
      <c r="AO128">
        <v>200</v>
      </c>
      <c r="AP128">
        <v>187.9</v>
      </c>
      <c r="AQ128">
        <v>7.28</v>
      </c>
      <c r="AR128">
        <v>-39.5</v>
      </c>
      <c r="AS128">
        <v>11.9</v>
      </c>
      <c r="AT128">
        <v>0</v>
      </c>
      <c r="AU128">
        <v>23.256</v>
      </c>
      <c r="AV128">
        <v>8.65</v>
      </c>
      <c r="AW128">
        <v>0</v>
      </c>
      <c r="AX128">
        <v>-86.781764559999999</v>
      </c>
      <c r="AY128">
        <v>40.834882550000003</v>
      </c>
      <c r="AZ128">
        <f t="shared" si="3"/>
        <v>7</v>
      </c>
      <c r="BA128">
        <f t="shared" si="4"/>
        <v>17</v>
      </c>
      <c r="BB128">
        <f t="shared" si="5"/>
        <v>2024</v>
      </c>
      <c r="BD128" s="19">
        <v>45490</v>
      </c>
    </row>
    <row r="129" spans="1:56" x14ac:dyDescent="0.25">
      <c r="A129" s="25">
        <v>10394</v>
      </c>
      <c r="B129" s="28" t="s">
        <v>413</v>
      </c>
      <c r="C129" s="23" t="s">
        <v>413</v>
      </c>
      <c r="D129" s="60" t="s">
        <v>478</v>
      </c>
      <c r="E129" s="60">
        <v>8</v>
      </c>
      <c r="F129" s="56"/>
      <c r="G129">
        <v>5065</v>
      </c>
      <c r="H129" s="23" t="s">
        <v>18</v>
      </c>
      <c r="I129" s="23" t="s">
        <v>8</v>
      </c>
      <c r="J129">
        <v>0.1348</v>
      </c>
      <c r="K129">
        <v>4.585</v>
      </c>
      <c r="L129">
        <v>-1.7000000000000001E-2</v>
      </c>
      <c r="M129">
        <v>0.05</v>
      </c>
      <c r="N129">
        <v>0.40507670352516922</v>
      </c>
      <c r="O129">
        <v>3.063333333333333</v>
      </c>
      <c r="P129">
        <v>24.806666666666661</v>
      </c>
      <c r="Q129" s="27">
        <v>5.8438030903648581</v>
      </c>
      <c r="R129" s="27">
        <v>3.6697878616273822</v>
      </c>
      <c r="S129" s="27">
        <v>308.56599999999997</v>
      </c>
      <c r="T129" s="27">
        <v>317.65699999999998</v>
      </c>
      <c r="U129" s="27">
        <v>320.23399999999998</v>
      </c>
      <c r="V129" s="27">
        <v>323.79700000000003</v>
      </c>
      <c r="W129" s="27">
        <v>343.15499999999997</v>
      </c>
      <c r="X129" s="27">
        <v>337.69</v>
      </c>
      <c r="Y129" s="27">
        <v>352.17500000000001</v>
      </c>
      <c r="Z129" s="27">
        <v>595.47400000000005</v>
      </c>
      <c r="AA129">
        <v>0.57799999999999996</v>
      </c>
      <c r="AB129">
        <v>742</v>
      </c>
      <c r="AC129">
        <v>473.1</v>
      </c>
      <c r="AD129">
        <v>485.2</v>
      </c>
      <c r="AE129">
        <v>315</v>
      </c>
      <c r="AF129">
        <v>0.23</v>
      </c>
      <c r="AG129">
        <v>486.4</v>
      </c>
      <c r="AH129">
        <v>0.59299999999999997</v>
      </c>
      <c r="AI129">
        <v>0.82</v>
      </c>
      <c r="AJ129">
        <v>60.1</v>
      </c>
      <c r="AK129">
        <v>5.08</v>
      </c>
      <c r="AL129">
        <v>61.6</v>
      </c>
      <c r="AM129">
        <v>40.811019999999999</v>
      </c>
      <c r="AN129">
        <v>-86.794340000000005</v>
      </c>
      <c r="AO129">
        <v>200.5</v>
      </c>
      <c r="AP129">
        <v>153.4</v>
      </c>
      <c r="AQ129">
        <v>7.28</v>
      </c>
      <c r="AR129">
        <v>-39.299999999999997</v>
      </c>
      <c r="AS129">
        <v>11.9</v>
      </c>
      <c r="AT129">
        <v>0</v>
      </c>
      <c r="AU129">
        <v>23.695</v>
      </c>
      <c r="AV129">
        <v>6.57</v>
      </c>
      <c r="AW129">
        <v>0</v>
      </c>
      <c r="AX129">
        <v>-86.794299730000006</v>
      </c>
      <c r="AY129">
        <v>40.81108966</v>
      </c>
      <c r="AZ129">
        <f t="shared" si="3"/>
        <v>7</v>
      </c>
      <c r="BA129">
        <f t="shared" si="4"/>
        <v>17</v>
      </c>
      <c r="BB129">
        <f t="shared" si="5"/>
        <v>2024</v>
      </c>
      <c r="BD129" s="19">
        <v>45490</v>
      </c>
    </row>
    <row r="130" spans="1:56" x14ac:dyDescent="0.25">
      <c r="A130" s="25">
        <v>10395</v>
      </c>
      <c r="B130" s="23" t="s">
        <v>414</v>
      </c>
      <c r="C130" s="23" t="s">
        <v>414</v>
      </c>
      <c r="D130" s="60" t="s">
        <v>479</v>
      </c>
      <c r="E130" s="60">
        <v>9</v>
      </c>
      <c r="F130" s="56"/>
      <c r="G130">
        <v>3385</v>
      </c>
      <c r="H130" s="23" t="s">
        <v>18</v>
      </c>
      <c r="I130" s="23" t="s">
        <v>8</v>
      </c>
      <c r="J130">
        <v>5.9999999999999995E-4</v>
      </c>
      <c r="K130">
        <v>4.6360000000000001</v>
      </c>
      <c r="L130">
        <v>0.35599999999999998</v>
      </c>
      <c r="N130">
        <v>0.33265756285629511</v>
      </c>
      <c r="O130">
        <v>69.94</v>
      </c>
      <c r="P130">
        <v>134.56333333333333</v>
      </c>
      <c r="Q130" s="27">
        <v>5.237561685947739</v>
      </c>
      <c r="R130" s="27">
        <v>3.0850077389535073</v>
      </c>
      <c r="S130" s="27">
        <v>366.36799999999999</v>
      </c>
      <c r="T130" s="27">
        <v>371.09300000000002</v>
      </c>
      <c r="U130" s="27">
        <v>369.50299999999999</v>
      </c>
      <c r="V130" s="27">
        <v>378.36500000000001</v>
      </c>
      <c r="W130" s="27">
        <v>394.61200000000002</v>
      </c>
      <c r="X130" s="27">
        <v>384.64600000000002</v>
      </c>
      <c r="Y130" s="27">
        <v>396.66699999999997</v>
      </c>
      <c r="Z130" s="27">
        <v>624.755</v>
      </c>
      <c r="AA130">
        <v>0.53300000000000003</v>
      </c>
      <c r="AB130">
        <v>741.7</v>
      </c>
      <c r="AC130">
        <v>496.2</v>
      </c>
      <c r="AD130">
        <v>504.9</v>
      </c>
      <c r="AE130">
        <v>328</v>
      </c>
      <c r="AF130">
        <v>0.24</v>
      </c>
      <c r="AG130">
        <v>505.8</v>
      </c>
      <c r="AH130">
        <v>0.53300000000000003</v>
      </c>
      <c r="AI130">
        <v>0.75600000000000001</v>
      </c>
      <c r="AJ130">
        <v>119.2</v>
      </c>
      <c r="AK130">
        <v>10</v>
      </c>
      <c r="AL130">
        <v>122.2</v>
      </c>
      <c r="AM130">
        <v>40.80433</v>
      </c>
      <c r="AN130">
        <v>-86.774829999999994</v>
      </c>
      <c r="AO130">
        <v>199.8</v>
      </c>
      <c r="AP130">
        <v>182.7</v>
      </c>
      <c r="AQ130">
        <v>7.77</v>
      </c>
      <c r="AR130">
        <v>-69.2</v>
      </c>
      <c r="AS130">
        <v>11.9</v>
      </c>
      <c r="AT130">
        <v>0</v>
      </c>
      <c r="AU130">
        <v>24.099</v>
      </c>
      <c r="AV130">
        <v>6.21</v>
      </c>
      <c r="AW130">
        <v>0</v>
      </c>
      <c r="AX130">
        <v>-86.774830640000005</v>
      </c>
      <c r="AY130">
        <v>40.804242270000003</v>
      </c>
      <c r="AZ130">
        <f t="shared" ref="AZ130:AZ170" si="6">MONTH(BD130)</f>
        <v>7</v>
      </c>
      <c r="BA130">
        <f t="shared" ref="BA130:BA170" si="7">DAY(BD130)</f>
        <v>17</v>
      </c>
      <c r="BB130">
        <f t="shared" ref="BB130:BB170" si="8">YEAR(BD130)</f>
        <v>2024</v>
      </c>
      <c r="BD130" s="19">
        <v>45490</v>
      </c>
    </row>
    <row r="131" spans="1:56" x14ac:dyDescent="0.25">
      <c r="A131" s="25">
        <v>10396</v>
      </c>
      <c r="B131" t="s">
        <v>415</v>
      </c>
      <c r="C131" t="s">
        <v>415</v>
      </c>
      <c r="D131" s="27" t="s">
        <v>480</v>
      </c>
      <c r="E131" s="27">
        <v>10</v>
      </c>
      <c r="F131" s="56"/>
      <c r="G131">
        <v>2205</v>
      </c>
      <c r="H131" t="s">
        <v>18</v>
      </c>
      <c r="I131" t="s">
        <v>8</v>
      </c>
      <c r="J131">
        <v>4.0800000000000003E-2</v>
      </c>
      <c r="K131">
        <v>4.2130000000000001</v>
      </c>
      <c r="L131">
        <v>0.217</v>
      </c>
      <c r="M131">
        <v>0.05</v>
      </c>
      <c r="N131">
        <v>0.35589167553658685</v>
      </c>
      <c r="O131">
        <v>3.5233333333333334</v>
      </c>
      <c r="P131">
        <v>14.166666666666666</v>
      </c>
      <c r="Q131" s="27">
        <v>6.5299328533290186</v>
      </c>
      <c r="R131" s="27">
        <v>3.4080694975459416</v>
      </c>
      <c r="S131" s="27">
        <v>341.911</v>
      </c>
      <c r="T131" s="27">
        <v>353.46600000000001</v>
      </c>
      <c r="U131" s="27">
        <v>329.62599999999998</v>
      </c>
      <c r="V131" s="27">
        <v>325.32600000000002</v>
      </c>
      <c r="W131" s="27">
        <v>327.97500000000002</v>
      </c>
      <c r="X131" s="27">
        <v>304.053</v>
      </c>
      <c r="Y131" s="27">
        <v>331.84199999999998</v>
      </c>
      <c r="Z131" s="27">
        <v>627.87599999999998</v>
      </c>
      <c r="AA131">
        <v>0.56999999999999995</v>
      </c>
      <c r="AB131">
        <v>741.6</v>
      </c>
      <c r="AC131">
        <v>445.3</v>
      </c>
      <c r="AD131">
        <v>460.7</v>
      </c>
      <c r="AE131">
        <v>299</v>
      </c>
      <c r="AF131">
        <v>0.22</v>
      </c>
      <c r="AG131">
        <v>462.3</v>
      </c>
      <c r="AH131">
        <v>0.72499999999999998</v>
      </c>
      <c r="AI131">
        <v>0.80900000000000005</v>
      </c>
      <c r="AJ131">
        <v>65.3</v>
      </c>
      <c r="AK131">
        <v>5.57</v>
      </c>
      <c r="AL131">
        <v>67</v>
      </c>
      <c r="AM131">
        <v>40.794550000000001</v>
      </c>
      <c r="AN131">
        <v>-86.77431</v>
      </c>
      <c r="AO131">
        <v>200.3</v>
      </c>
      <c r="AP131">
        <v>214.2</v>
      </c>
      <c r="AQ131">
        <v>7.31</v>
      </c>
      <c r="AR131">
        <v>-41</v>
      </c>
      <c r="AS131">
        <v>11.9</v>
      </c>
      <c r="AT131">
        <v>0</v>
      </c>
      <c r="AU131">
        <v>23.242999999999999</v>
      </c>
      <c r="AV131">
        <v>7.48</v>
      </c>
      <c r="AW131">
        <v>0</v>
      </c>
      <c r="AX131">
        <v>-86.774344880000001</v>
      </c>
      <c r="AY131">
        <v>40.794689409999997</v>
      </c>
      <c r="AZ131">
        <f t="shared" si="6"/>
        <v>7</v>
      </c>
      <c r="BA131">
        <f t="shared" si="7"/>
        <v>17</v>
      </c>
      <c r="BB131">
        <f t="shared" si="8"/>
        <v>2024</v>
      </c>
      <c r="BD131" s="19">
        <v>45490</v>
      </c>
    </row>
    <row r="132" spans="1:56" x14ac:dyDescent="0.25">
      <c r="A132" s="25">
        <v>10397</v>
      </c>
      <c r="B132" t="s">
        <v>416</v>
      </c>
      <c r="C132" t="s">
        <v>416</v>
      </c>
      <c r="D132" s="27" t="s">
        <v>481</v>
      </c>
      <c r="E132" s="27">
        <v>11</v>
      </c>
      <c r="F132" s="56"/>
      <c r="G132">
        <v>1385</v>
      </c>
      <c r="H132" t="s">
        <v>18</v>
      </c>
      <c r="I132" t="s">
        <v>8</v>
      </c>
      <c r="J132">
        <v>5.6399999999999999E-2</v>
      </c>
      <c r="K132">
        <v>6.0490000000000004</v>
      </c>
      <c r="L132">
        <v>0.35199999999999998</v>
      </c>
      <c r="M132">
        <v>0.05</v>
      </c>
      <c r="N132">
        <v>0.33887640555203613</v>
      </c>
      <c r="O132">
        <v>3.6799999999999997</v>
      </c>
      <c r="P132">
        <v>8.34</v>
      </c>
      <c r="Q132" s="27">
        <v>4.8507604562737647</v>
      </c>
      <c r="R132" s="27">
        <v>3.5420563855567946</v>
      </c>
      <c r="S132" s="27"/>
      <c r="T132" s="27"/>
      <c r="U132" s="27"/>
      <c r="V132" s="27"/>
      <c r="W132" s="27"/>
      <c r="X132" s="27"/>
      <c r="Y132" s="27"/>
      <c r="Z132" s="27"/>
      <c r="AA132">
        <v>0.65100000000000002</v>
      </c>
      <c r="AB132">
        <v>741.4</v>
      </c>
      <c r="AC132">
        <v>512.5</v>
      </c>
      <c r="AD132">
        <v>524.6</v>
      </c>
      <c r="AE132">
        <v>341</v>
      </c>
      <c r="AF132">
        <v>0.25</v>
      </c>
      <c r="AG132">
        <v>525.79999999999995</v>
      </c>
      <c r="AH132">
        <v>0.63300000000000001</v>
      </c>
      <c r="AI132">
        <v>0.92400000000000004</v>
      </c>
      <c r="AJ132">
        <v>64.400000000000006</v>
      </c>
      <c r="AK132">
        <v>5.43</v>
      </c>
      <c r="AL132">
        <v>66</v>
      </c>
      <c r="AM132">
        <v>40.788550000000001</v>
      </c>
      <c r="AN132">
        <v>-86.772130000000004</v>
      </c>
      <c r="AO132">
        <v>202.5</v>
      </c>
      <c r="AP132">
        <v>244.1</v>
      </c>
      <c r="AQ132">
        <v>7.26</v>
      </c>
      <c r="AR132">
        <v>-38.299999999999997</v>
      </c>
      <c r="AS132">
        <v>11.9</v>
      </c>
      <c r="AT132">
        <v>0</v>
      </c>
      <c r="AU132">
        <v>23.794</v>
      </c>
      <c r="AV132">
        <v>4.45</v>
      </c>
      <c r="AW132">
        <v>0</v>
      </c>
      <c r="AX132">
        <v>-86.772130180000005</v>
      </c>
      <c r="AY132">
        <v>40.78862204</v>
      </c>
      <c r="AZ132">
        <f t="shared" si="6"/>
        <v>7</v>
      </c>
      <c r="BA132">
        <f t="shared" si="7"/>
        <v>17</v>
      </c>
      <c r="BB132">
        <f t="shared" si="8"/>
        <v>2024</v>
      </c>
      <c r="BD132" s="19">
        <v>45490</v>
      </c>
    </row>
    <row r="133" spans="1:56" x14ac:dyDescent="0.25">
      <c r="A133" s="25">
        <v>10398</v>
      </c>
      <c r="B133" t="s">
        <v>417</v>
      </c>
      <c r="C133" t="s">
        <v>417</v>
      </c>
      <c r="D133" s="27" t="s">
        <v>482</v>
      </c>
      <c r="E133" s="27">
        <v>12</v>
      </c>
      <c r="F133" s="56"/>
      <c r="G133">
        <v>275</v>
      </c>
      <c r="H133" t="s">
        <v>18</v>
      </c>
      <c r="I133" t="s">
        <v>8</v>
      </c>
      <c r="J133">
        <v>6.5199999999999994E-2</v>
      </c>
      <c r="K133">
        <v>4.9370000000000003</v>
      </c>
      <c r="L133">
        <v>0.308</v>
      </c>
      <c r="M133">
        <v>0.05</v>
      </c>
      <c r="N133">
        <v>0.40907508559543099</v>
      </c>
      <c r="O133">
        <v>2.6933333333333334</v>
      </c>
      <c r="P133">
        <v>5.9899999999999993</v>
      </c>
      <c r="Q133" s="27">
        <v>5.4726761588868218</v>
      </c>
      <c r="R133" s="27">
        <v>2.0163412345777867</v>
      </c>
      <c r="S133" s="27">
        <v>379.04700000000003</v>
      </c>
      <c r="T133" s="27">
        <v>386.12299999999999</v>
      </c>
      <c r="U133" s="27">
        <v>377.83699999999999</v>
      </c>
      <c r="V133" s="27">
        <v>373.94099999999997</v>
      </c>
      <c r="W133" s="27">
        <v>394.87799999999999</v>
      </c>
      <c r="X133" s="27">
        <v>366.24</v>
      </c>
      <c r="Y133" s="27">
        <v>382.255</v>
      </c>
      <c r="Z133" s="27">
        <v>612.82299999999998</v>
      </c>
      <c r="AA133">
        <v>0.497</v>
      </c>
      <c r="AB133">
        <v>741.4</v>
      </c>
      <c r="AC133">
        <v>443.7</v>
      </c>
      <c r="AD133">
        <v>458.7</v>
      </c>
      <c r="AE133">
        <v>298</v>
      </c>
      <c r="AF133">
        <v>0.22</v>
      </c>
      <c r="AG133">
        <v>460.2</v>
      </c>
      <c r="AH133">
        <v>0.495</v>
      </c>
      <c r="AI133">
        <v>0.70499999999999996</v>
      </c>
      <c r="AJ133">
        <v>61.4</v>
      </c>
      <c r="AK133">
        <v>5.24</v>
      </c>
      <c r="AL133">
        <v>63</v>
      </c>
      <c r="AM133">
        <v>40.782339999999998</v>
      </c>
      <c r="AN133">
        <v>-86.762100000000004</v>
      </c>
      <c r="AO133">
        <v>201.9</v>
      </c>
      <c r="AP133">
        <v>215.9</v>
      </c>
      <c r="AQ133">
        <v>7.3</v>
      </c>
      <c r="AR133">
        <v>-40.700000000000003</v>
      </c>
      <c r="AS133">
        <v>11.9</v>
      </c>
      <c r="AT133">
        <v>0</v>
      </c>
      <c r="AU133">
        <v>23.283000000000001</v>
      </c>
      <c r="AV133">
        <v>6.37</v>
      </c>
      <c r="AW133">
        <v>0</v>
      </c>
      <c r="AX133">
        <v>-86.762205379999997</v>
      </c>
      <c r="AY133">
        <v>40.782380209999999</v>
      </c>
      <c r="AZ133">
        <f t="shared" si="6"/>
        <v>7</v>
      </c>
      <c r="BA133">
        <f t="shared" si="7"/>
        <v>17</v>
      </c>
      <c r="BB133">
        <f t="shared" si="8"/>
        <v>2024</v>
      </c>
      <c r="BD133" s="19">
        <v>45490</v>
      </c>
    </row>
    <row r="134" spans="1:56" x14ac:dyDescent="0.25">
      <c r="A134" s="25">
        <v>10399</v>
      </c>
      <c r="B134" t="s">
        <v>418</v>
      </c>
      <c r="C134" t="s">
        <v>418</v>
      </c>
      <c r="D134" s="27" t="s">
        <v>483</v>
      </c>
      <c r="E134" s="27">
        <v>14</v>
      </c>
      <c r="F134" s="56"/>
      <c r="G134">
        <v>4225</v>
      </c>
      <c r="H134" t="s">
        <v>18</v>
      </c>
      <c r="I134" t="s">
        <v>8</v>
      </c>
      <c r="J134">
        <v>6.1600000000000002E-2</v>
      </c>
      <c r="K134">
        <v>5.359</v>
      </c>
      <c r="L134">
        <v>0.33900000000000002</v>
      </c>
      <c r="N134">
        <v>0.39770183890916089</v>
      </c>
      <c r="O134">
        <v>2.2333333333333334</v>
      </c>
      <c r="P134">
        <v>4.9800000000000004</v>
      </c>
      <c r="Q134" s="27">
        <v>5.1354259364129113</v>
      </c>
      <c r="R134" s="27">
        <v>3.2103177652407666</v>
      </c>
      <c r="S134" s="27">
        <v>390.59899999999999</v>
      </c>
      <c r="T134" s="27">
        <v>455.476</v>
      </c>
      <c r="U134" s="27">
        <v>440.32799999999997</v>
      </c>
      <c r="V134" s="27">
        <v>445.55099999999999</v>
      </c>
      <c r="W134" s="27">
        <v>461.60700000000003</v>
      </c>
      <c r="X134" s="27">
        <v>474.20499999999998</v>
      </c>
      <c r="Y134" s="27">
        <v>461.68700000000001</v>
      </c>
      <c r="Z134" s="27">
        <v>680.93700000000001</v>
      </c>
      <c r="AA134">
        <v>0.46300000000000002</v>
      </c>
      <c r="AB134">
        <v>742.1</v>
      </c>
      <c r="AC134">
        <v>481.9</v>
      </c>
      <c r="AD134">
        <v>495.9</v>
      </c>
      <c r="AE134">
        <v>322</v>
      </c>
      <c r="AF134">
        <v>0.24</v>
      </c>
      <c r="AG134">
        <v>497.3</v>
      </c>
      <c r="AH134">
        <v>0.47699999999999998</v>
      </c>
      <c r="AI134">
        <v>0.65700000000000003</v>
      </c>
      <c r="AJ134">
        <v>60.6</v>
      </c>
      <c r="AK134">
        <v>5.14</v>
      </c>
      <c r="AL134">
        <v>62.1</v>
      </c>
      <c r="AM134">
        <v>40.80724</v>
      </c>
      <c r="AN134">
        <v>-86.784899999999993</v>
      </c>
      <c r="AO134">
        <v>200.6</v>
      </c>
      <c r="AP134">
        <v>204.9</v>
      </c>
      <c r="AQ134">
        <v>7.27</v>
      </c>
      <c r="AR134">
        <v>-39</v>
      </c>
      <c r="AS134">
        <v>11.9</v>
      </c>
      <c r="AT134">
        <v>0</v>
      </c>
      <c r="AU134">
        <v>23.515000000000001</v>
      </c>
      <c r="AV134">
        <v>6.69</v>
      </c>
      <c r="AW134">
        <v>0</v>
      </c>
      <c r="AX134">
        <v>-86.785247049999995</v>
      </c>
      <c r="AY134">
        <v>40.807313710000003</v>
      </c>
      <c r="AZ134">
        <f t="shared" si="6"/>
        <v>7</v>
      </c>
      <c r="BA134">
        <f t="shared" si="7"/>
        <v>17</v>
      </c>
      <c r="BB134">
        <f t="shared" si="8"/>
        <v>2024</v>
      </c>
      <c r="BD134" s="19">
        <v>45490</v>
      </c>
    </row>
    <row r="135" spans="1:56" x14ac:dyDescent="0.25">
      <c r="A135" s="25">
        <v>10400</v>
      </c>
      <c r="B135" t="s">
        <v>419</v>
      </c>
      <c r="C135" t="s">
        <v>419</v>
      </c>
      <c r="D135" s="27" t="s">
        <v>484</v>
      </c>
      <c r="E135" s="27">
        <v>15</v>
      </c>
      <c r="F135" s="56"/>
      <c r="G135">
        <v>2905</v>
      </c>
      <c r="H135" t="s">
        <v>18</v>
      </c>
      <c r="I135" t="s">
        <v>8</v>
      </c>
      <c r="J135">
        <v>4.9799999999999997E-2</v>
      </c>
      <c r="K135">
        <v>4.9119999999999999</v>
      </c>
      <c r="L135">
        <v>0.29699999999999999</v>
      </c>
      <c r="M135">
        <v>0.05</v>
      </c>
      <c r="N135">
        <v>0.3539041820413904</v>
      </c>
      <c r="O135">
        <v>2.3433333333333333</v>
      </c>
      <c r="P135">
        <v>6.1566666666666663</v>
      </c>
      <c r="Q135" s="27">
        <v>9.2748024701345633E-2</v>
      </c>
      <c r="R135" s="27">
        <v>0.19904317218961698</v>
      </c>
      <c r="S135" s="27">
        <v>355.44900000000001</v>
      </c>
      <c r="T135" s="27">
        <v>372.35500000000002</v>
      </c>
      <c r="U135" s="27">
        <v>371.49700000000001</v>
      </c>
      <c r="V135" s="27">
        <v>372.58300000000003</v>
      </c>
      <c r="W135" s="27">
        <v>399.03300000000002</v>
      </c>
      <c r="X135" s="27">
        <v>388.91199999999998</v>
      </c>
      <c r="Y135" s="27">
        <v>393.08</v>
      </c>
      <c r="Z135" s="27">
        <v>582.96600000000001</v>
      </c>
      <c r="AA135">
        <v>0.63900000000000001</v>
      </c>
      <c r="AB135">
        <v>741.7</v>
      </c>
      <c r="AC135">
        <v>470.7</v>
      </c>
      <c r="AD135">
        <v>486.1</v>
      </c>
      <c r="AE135">
        <v>316</v>
      </c>
      <c r="AF135">
        <v>0.23</v>
      </c>
      <c r="AG135">
        <v>487.6</v>
      </c>
      <c r="AH135">
        <v>0.54300000000000004</v>
      </c>
      <c r="AI135">
        <v>0.90600000000000003</v>
      </c>
      <c r="AJ135">
        <v>60.6</v>
      </c>
      <c r="AK135">
        <v>5.16</v>
      </c>
      <c r="AL135">
        <v>62.1</v>
      </c>
      <c r="AM135">
        <v>40.799219999999998</v>
      </c>
      <c r="AN135">
        <v>-86.777799999999999</v>
      </c>
      <c r="AO135">
        <v>202.1</v>
      </c>
      <c r="AP135">
        <v>212.5</v>
      </c>
      <c r="AQ135">
        <v>7.28</v>
      </c>
      <c r="AR135">
        <v>-39.5</v>
      </c>
      <c r="AS135">
        <v>11.9</v>
      </c>
      <c r="AT135">
        <v>0</v>
      </c>
      <c r="AU135">
        <v>23.346</v>
      </c>
      <c r="AV135">
        <v>7.36</v>
      </c>
      <c r="AW135">
        <v>0</v>
      </c>
      <c r="AX135">
        <v>-86.777779629999998</v>
      </c>
      <c r="AY135">
        <v>40.799243930000003</v>
      </c>
      <c r="AZ135">
        <f t="shared" si="6"/>
        <v>7</v>
      </c>
      <c r="BA135">
        <f t="shared" si="7"/>
        <v>17</v>
      </c>
      <c r="BB135">
        <f t="shared" si="8"/>
        <v>2024</v>
      </c>
      <c r="BD135" s="19">
        <v>45490</v>
      </c>
    </row>
    <row r="136" spans="1:56" x14ac:dyDescent="0.25">
      <c r="A136" s="25">
        <v>10401</v>
      </c>
      <c r="B136" s="67" t="s">
        <v>420</v>
      </c>
      <c r="C136" s="67" t="s">
        <v>420</v>
      </c>
      <c r="D136" s="68" t="s">
        <v>456</v>
      </c>
      <c r="E136" s="68">
        <v>1</v>
      </c>
      <c r="F136" s="114"/>
      <c r="G136">
        <v>5999</v>
      </c>
      <c r="H136" s="67" t="s">
        <v>17</v>
      </c>
      <c r="I136" s="67" t="s">
        <v>8</v>
      </c>
      <c r="J136" s="115">
        <v>3.1000000000000003E-3</v>
      </c>
      <c r="K136" s="116">
        <v>1.8393333333333333</v>
      </c>
      <c r="L136" s="116">
        <v>6.533333333333334E-2</v>
      </c>
      <c r="M136">
        <v>0.14689086294416245</v>
      </c>
      <c r="N136">
        <v>0.32824190662092656</v>
      </c>
      <c r="O136">
        <v>5.5033333333333339</v>
      </c>
      <c r="P136">
        <v>4.7299999999999995</v>
      </c>
      <c r="Q136">
        <v>3.4259817973358366</v>
      </c>
      <c r="R136">
        <v>1.1471593552336259</v>
      </c>
      <c r="S136">
        <v>227.49</v>
      </c>
      <c r="T136">
        <v>261.04599999999999</v>
      </c>
      <c r="U136">
        <v>348.68</v>
      </c>
      <c r="V136">
        <v>361.32499999999999</v>
      </c>
      <c r="W136">
        <v>309.07799999999997</v>
      </c>
      <c r="X136">
        <v>274.51799999999997</v>
      </c>
      <c r="Y136">
        <v>356.21499999999997</v>
      </c>
      <c r="Z136">
        <v>700.13400000000001</v>
      </c>
      <c r="AA136">
        <v>0.55700000000000005</v>
      </c>
      <c r="AB136">
        <v>745.3</v>
      </c>
      <c r="AC136">
        <v>460.8</v>
      </c>
      <c r="AD136">
        <v>445.5</v>
      </c>
      <c r="AE136">
        <v>290</v>
      </c>
      <c r="AF136">
        <v>0.21</v>
      </c>
      <c r="AG136">
        <v>443.9</v>
      </c>
      <c r="AH136">
        <v>0.55800000000000005</v>
      </c>
      <c r="AI136">
        <v>0.79</v>
      </c>
      <c r="AJ136">
        <v>111.2</v>
      </c>
      <c r="AK136">
        <v>8.8800000000000008</v>
      </c>
      <c r="AL136">
        <v>113.1</v>
      </c>
      <c r="AM136">
        <v>40.6815</v>
      </c>
      <c r="AN136">
        <v>-85.888949999999994</v>
      </c>
      <c r="AO136">
        <v>227.9</v>
      </c>
      <c r="AP136">
        <v>198.8</v>
      </c>
      <c r="AQ136">
        <v>8.36</v>
      </c>
      <c r="AR136">
        <v>-104</v>
      </c>
      <c r="AS136">
        <v>11.9</v>
      </c>
      <c r="AT136">
        <v>0</v>
      </c>
      <c r="AU136">
        <v>26.797000000000001</v>
      </c>
      <c r="AV136">
        <v>3.38</v>
      </c>
      <c r="AW136">
        <v>0</v>
      </c>
      <c r="AX136">
        <v>-85.888852740000004</v>
      </c>
      <c r="AY136">
        <v>40.681745419999999</v>
      </c>
      <c r="AZ136">
        <f t="shared" si="6"/>
        <v>7</v>
      </c>
      <c r="BA136">
        <f t="shared" si="7"/>
        <v>18</v>
      </c>
      <c r="BB136">
        <f t="shared" si="8"/>
        <v>2024</v>
      </c>
      <c r="BD136" s="19">
        <v>45491</v>
      </c>
    </row>
    <row r="137" spans="1:56" x14ac:dyDescent="0.25">
      <c r="A137" s="25">
        <v>10402</v>
      </c>
      <c r="B137" t="s">
        <v>421</v>
      </c>
      <c r="C137" t="s">
        <v>421</v>
      </c>
      <c r="D137" s="27" t="s">
        <v>457</v>
      </c>
      <c r="E137" s="27">
        <v>2</v>
      </c>
      <c r="F137" s="56"/>
      <c r="G137">
        <v>8861</v>
      </c>
      <c r="H137" t="s">
        <v>17</v>
      </c>
      <c r="I137" t="s">
        <v>8</v>
      </c>
      <c r="J137">
        <v>-4.8999999999999998E-3</v>
      </c>
      <c r="K137">
        <v>1.62</v>
      </c>
      <c r="L137">
        <v>5.6000000000000001E-2</v>
      </c>
      <c r="M137">
        <v>0.05</v>
      </c>
      <c r="N137">
        <v>0.40345308715057798</v>
      </c>
      <c r="O137">
        <v>15.976666666666665</v>
      </c>
      <c r="P137">
        <v>10.723333333333334</v>
      </c>
      <c r="Q137">
        <v>2.6209927085245699</v>
      </c>
      <c r="R137">
        <v>1.1491997551520097</v>
      </c>
      <c r="S137">
        <v>207.316</v>
      </c>
      <c r="T137">
        <v>237.07900000000001</v>
      </c>
      <c r="U137">
        <v>337.06799999999998</v>
      </c>
      <c r="V137">
        <v>340.61200000000002</v>
      </c>
      <c r="W137">
        <v>282.99299999999999</v>
      </c>
      <c r="X137">
        <v>273.20800000000003</v>
      </c>
      <c r="Y137">
        <v>342.95699999999999</v>
      </c>
      <c r="Z137">
        <v>653.67100000000005</v>
      </c>
      <c r="AA137">
        <v>0.53700000000000003</v>
      </c>
      <c r="AB137">
        <v>745.3</v>
      </c>
      <c r="AC137">
        <v>464.8</v>
      </c>
      <c r="AD137">
        <v>447.2</v>
      </c>
      <c r="AE137">
        <v>291</v>
      </c>
      <c r="AF137">
        <v>0.21</v>
      </c>
      <c r="AG137">
        <v>445.4</v>
      </c>
      <c r="AH137">
        <v>0.55400000000000005</v>
      </c>
      <c r="AI137">
        <v>0.76100000000000001</v>
      </c>
      <c r="AJ137">
        <v>116</v>
      </c>
      <c r="AK137">
        <v>9.2200000000000006</v>
      </c>
      <c r="AL137">
        <v>118</v>
      </c>
      <c r="AM137">
        <v>40.676380000000002</v>
      </c>
      <c r="AN137">
        <v>-85.877279999999999</v>
      </c>
      <c r="AO137">
        <v>227.1</v>
      </c>
      <c r="AP137">
        <v>188.7</v>
      </c>
      <c r="AQ137">
        <v>8.3800000000000008</v>
      </c>
      <c r="AR137">
        <v>-105</v>
      </c>
      <c r="AS137">
        <v>12</v>
      </c>
      <c r="AT137">
        <v>0</v>
      </c>
      <c r="AU137">
        <v>27.058</v>
      </c>
      <c r="AV137">
        <v>3</v>
      </c>
      <c r="AW137">
        <v>0</v>
      </c>
      <c r="AX137">
        <v>-85.876989399999999</v>
      </c>
      <c r="AY137">
        <v>40.676753269999999</v>
      </c>
      <c r="AZ137">
        <f t="shared" si="6"/>
        <v>7</v>
      </c>
      <c r="BA137">
        <f t="shared" si="7"/>
        <v>18</v>
      </c>
      <c r="BB137">
        <f t="shared" si="8"/>
        <v>2024</v>
      </c>
      <c r="BD137" s="19">
        <v>45491</v>
      </c>
    </row>
    <row r="138" spans="1:56" x14ac:dyDescent="0.25">
      <c r="A138" s="25">
        <v>10403</v>
      </c>
      <c r="B138" t="s">
        <v>422</v>
      </c>
      <c r="C138" t="s">
        <v>422</v>
      </c>
      <c r="D138" s="27" t="s">
        <v>458</v>
      </c>
      <c r="E138" s="27">
        <v>3</v>
      </c>
      <c r="F138" s="56"/>
      <c r="G138">
        <v>9921</v>
      </c>
      <c r="H138" t="s">
        <v>17</v>
      </c>
      <c r="I138" t="s">
        <v>8</v>
      </c>
      <c r="J138">
        <v>1.5299999999999999E-2</v>
      </c>
      <c r="K138">
        <v>1.347</v>
      </c>
      <c r="L138">
        <v>8.9999999999999993E-3</v>
      </c>
      <c r="M138">
        <v>0.05</v>
      </c>
      <c r="N138">
        <v>0.41933287867878899</v>
      </c>
      <c r="O138">
        <v>7.4233333333333347</v>
      </c>
      <c r="P138">
        <v>4.8066666666666666</v>
      </c>
      <c r="Q138">
        <v>2.7828221981822843</v>
      </c>
      <c r="R138">
        <v>1.2640742705570291</v>
      </c>
      <c r="S138">
        <v>196.43299999999999</v>
      </c>
      <c r="T138">
        <v>252.779</v>
      </c>
      <c r="U138">
        <v>351.78199999999998</v>
      </c>
      <c r="V138">
        <v>355.02199999999999</v>
      </c>
      <c r="W138">
        <v>283.19200000000001</v>
      </c>
      <c r="X138">
        <v>286.00900000000001</v>
      </c>
      <c r="Y138">
        <v>326.084</v>
      </c>
      <c r="Z138">
        <v>582.32399999999996</v>
      </c>
      <c r="AA138">
        <v>0.54300000000000004</v>
      </c>
      <c r="AB138">
        <v>745.2</v>
      </c>
      <c r="AC138">
        <v>469.4</v>
      </c>
      <c r="AD138">
        <v>454.3</v>
      </c>
      <c r="AE138">
        <v>295</v>
      </c>
      <c r="AF138">
        <v>0.22</v>
      </c>
      <c r="AG138">
        <v>452.7</v>
      </c>
      <c r="AH138">
        <v>0.55400000000000005</v>
      </c>
      <c r="AI138">
        <v>0.77</v>
      </c>
      <c r="AJ138">
        <v>128.30000000000001</v>
      </c>
      <c r="AK138">
        <v>10.26</v>
      </c>
      <c r="AL138">
        <v>130.6</v>
      </c>
      <c r="AM138">
        <v>40.670279999999998</v>
      </c>
      <c r="AN138">
        <v>-85.870530000000002</v>
      </c>
      <c r="AO138">
        <v>225.9</v>
      </c>
      <c r="AP138">
        <v>204.1</v>
      </c>
      <c r="AQ138">
        <v>8.3699999999999992</v>
      </c>
      <c r="AR138">
        <v>-104.6</v>
      </c>
      <c r="AS138">
        <v>11.9</v>
      </c>
      <c r="AT138">
        <v>0</v>
      </c>
      <c r="AU138">
        <v>26.742000000000001</v>
      </c>
      <c r="AV138">
        <v>4.01</v>
      </c>
      <c r="AW138">
        <v>0</v>
      </c>
      <c r="AX138">
        <v>-85.870380830000002</v>
      </c>
      <c r="AY138">
        <v>40.670653649999998</v>
      </c>
      <c r="AZ138">
        <f t="shared" si="6"/>
        <v>7</v>
      </c>
      <c r="BA138">
        <f t="shared" si="7"/>
        <v>18</v>
      </c>
      <c r="BB138">
        <f t="shared" si="8"/>
        <v>2024</v>
      </c>
      <c r="BD138" s="19">
        <v>45491</v>
      </c>
    </row>
    <row r="139" spans="1:56" x14ac:dyDescent="0.25">
      <c r="A139" s="25">
        <v>10404</v>
      </c>
      <c r="B139" t="s">
        <v>423</v>
      </c>
      <c r="C139" t="s">
        <v>423</v>
      </c>
      <c r="D139" s="27" t="s">
        <v>459</v>
      </c>
      <c r="E139" s="27">
        <v>4</v>
      </c>
      <c r="F139" s="56"/>
      <c r="G139">
        <v>10891</v>
      </c>
      <c r="H139" t="s">
        <v>17</v>
      </c>
      <c r="I139" t="s">
        <v>8</v>
      </c>
      <c r="J139">
        <v>4.0000000000000002E-4</v>
      </c>
      <c r="K139">
        <v>1.341</v>
      </c>
      <c r="L139">
        <v>0</v>
      </c>
      <c r="M139">
        <v>0.05</v>
      </c>
      <c r="N139">
        <v>0.4417066509477221</v>
      </c>
      <c r="O139">
        <v>16.326666666666664</v>
      </c>
      <c r="P139">
        <v>23.533333333333331</v>
      </c>
      <c r="Q139">
        <v>2.7093578474169</v>
      </c>
      <c r="R139">
        <v>0.84791974426987693</v>
      </c>
      <c r="S139">
        <v>185.15899999999999</v>
      </c>
      <c r="T139">
        <v>223.922</v>
      </c>
      <c r="U139">
        <v>333.96600000000001</v>
      </c>
      <c r="V139">
        <v>335.464</v>
      </c>
      <c r="W139">
        <v>266.04700000000003</v>
      </c>
      <c r="X139">
        <v>264.49099999999999</v>
      </c>
      <c r="Y139">
        <v>313.09800000000001</v>
      </c>
      <c r="Z139">
        <v>595.04899999999998</v>
      </c>
      <c r="AA139">
        <v>0.52800000000000002</v>
      </c>
      <c r="AB139">
        <v>745.2</v>
      </c>
      <c r="AC139">
        <v>463.1</v>
      </c>
      <c r="AD139">
        <v>446.3</v>
      </c>
      <c r="AE139">
        <v>290</v>
      </c>
      <c r="AF139">
        <v>0.21</v>
      </c>
      <c r="AG139">
        <v>444.6</v>
      </c>
      <c r="AH139">
        <v>0.54100000000000004</v>
      </c>
      <c r="AI139">
        <v>0.749</v>
      </c>
      <c r="AJ139">
        <v>156.30000000000001</v>
      </c>
      <c r="AK139">
        <v>12.45</v>
      </c>
      <c r="AL139">
        <v>159.1</v>
      </c>
      <c r="AM139">
        <v>40.662880000000001</v>
      </c>
      <c r="AN139">
        <v>-85.866709999999998</v>
      </c>
      <c r="AO139">
        <v>224.4</v>
      </c>
      <c r="AP139">
        <v>235.2</v>
      </c>
      <c r="AQ139">
        <v>8.56</v>
      </c>
      <c r="AR139">
        <v>-116</v>
      </c>
      <c r="AS139">
        <v>11.9</v>
      </c>
      <c r="AT139">
        <v>0</v>
      </c>
      <c r="AU139">
        <v>26.960999999999999</v>
      </c>
      <c r="AV139">
        <v>4.57</v>
      </c>
      <c r="AW139">
        <v>0</v>
      </c>
      <c r="AX139">
        <v>-85.866606840000003</v>
      </c>
      <c r="AY139">
        <v>40.6628623</v>
      </c>
      <c r="AZ139">
        <f t="shared" si="6"/>
        <v>7</v>
      </c>
      <c r="BA139">
        <f t="shared" si="7"/>
        <v>18</v>
      </c>
      <c r="BB139">
        <f t="shared" si="8"/>
        <v>2024</v>
      </c>
      <c r="BD139" s="19">
        <v>45491</v>
      </c>
    </row>
    <row r="140" spans="1:56" x14ac:dyDescent="0.25">
      <c r="A140" s="25">
        <v>10405</v>
      </c>
      <c r="B140" t="s">
        <v>424</v>
      </c>
      <c r="C140" t="s">
        <v>424</v>
      </c>
      <c r="D140" s="27" t="s">
        <v>460</v>
      </c>
      <c r="E140" s="27">
        <v>5</v>
      </c>
      <c r="F140" s="56"/>
      <c r="G140">
        <v>12821</v>
      </c>
      <c r="H140" t="s">
        <v>17</v>
      </c>
      <c r="I140" t="s">
        <v>8</v>
      </c>
      <c r="J140">
        <v>3.7000000000000002E-3</v>
      </c>
      <c r="K140">
        <v>1.776</v>
      </c>
      <c r="L140">
        <v>7.0000000000000001E-3</v>
      </c>
      <c r="M140">
        <v>0.12309644670050762</v>
      </c>
      <c r="N140">
        <v>0.4134438211625992</v>
      </c>
      <c r="O140">
        <v>12.796666666666667</v>
      </c>
      <c r="P140">
        <v>16.296666666666663</v>
      </c>
      <c r="Q140">
        <v>2.6490616349962544</v>
      </c>
      <c r="R140">
        <v>0.95454560293817592</v>
      </c>
      <c r="S140">
        <v>168.14099999999999</v>
      </c>
      <c r="T140">
        <v>215.21600000000001</v>
      </c>
      <c r="U140">
        <v>335.68299999999999</v>
      </c>
      <c r="V140">
        <v>345.09100000000001</v>
      </c>
      <c r="W140">
        <v>265.53300000000002</v>
      </c>
      <c r="X140">
        <v>257.03800000000001</v>
      </c>
      <c r="Y140">
        <v>326.31400000000002</v>
      </c>
      <c r="Z140">
        <v>615.72400000000005</v>
      </c>
      <c r="AA140">
        <v>0.54300000000000004</v>
      </c>
      <c r="AB140">
        <v>745</v>
      </c>
      <c r="AC140">
        <v>482</v>
      </c>
      <c r="AD140">
        <v>459.6</v>
      </c>
      <c r="AE140">
        <v>299</v>
      </c>
      <c r="AF140">
        <v>0.22</v>
      </c>
      <c r="AG140">
        <v>457.2</v>
      </c>
      <c r="AH140">
        <v>0.53700000000000003</v>
      </c>
      <c r="AI140">
        <v>0.76900000000000002</v>
      </c>
      <c r="AJ140">
        <v>150.5</v>
      </c>
      <c r="AK140">
        <v>11.86</v>
      </c>
      <c r="AL140">
        <v>153.19999999999999</v>
      </c>
      <c r="AM140">
        <v>40.668880000000001</v>
      </c>
      <c r="AN140">
        <v>-85.848010000000002</v>
      </c>
      <c r="AO140">
        <v>224.4</v>
      </c>
      <c r="AP140">
        <v>182.8</v>
      </c>
      <c r="AQ140">
        <v>8.5299999999999994</v>
      </c>
      <c r="AR140">
        <v>-114</v>
      </c>
      <c r="AS140">
        <v>11.9</v>
      </c>
      <c r="AT140">
        <v>0</v>
      </c>
      <c r="AU140">
        <v>27.55</v>
      </c>
      <c r="AV140">
        <v>4.71</v>
      </c>
      <c r="AW140">
        <v>0</v>
      </c>
      <c r="AX140">
        <v>-85.847995119999993</v>
      </c>
      <c r="AY140">
        <v>40.668849680000001</v>
      </c>
      <c r="AZ140">
        <f t="shared" si="6"/>
        <v>7</v>
      </c>
      <c r="BA140">
        <f t="shared" si="7"/>
        <v>18</v>
      </c>
      <c r="BB140">
        <f t="shared" si="8"/>
        <v>2024</v>
      </c>
      <c r="BD140" s="19">
        <v>45491</v>
      </c>
    </row>
    <row r="141" spans="1:56" x14ac:dyDescent="0.25">
      <c r="A141" s="25">
        <v>10406</v>
      </c>
      <c r="B141" t="s">
        <v>425</v>
      </c>
      <c r="C141" t="s">
        <v>425</v>
      </c>
      <c r="D141" s="27" t="s">
        <v>461</v>
      </c>
      <c r="E141" s="27">
        <v>6</v>
      </c>
      <c r="F141" s="56"/>
      <c r="G141">
        <v>14351</v>
      </c>
      <c r="H141" t="s">
        <v>17</v>
      </c>
      <c r="I141" t="s">
        <v>8</v>
      </c>
      <c r="J141">
        <v>2.12E-2</v>
      </c>
      <c r="K141">
        <v>1.887</v>
      </c>
      <c r="L141">
        <v>0.13600000000000001</v>
      </c>
      <c r="M141">
        <v>0.13023477157360408</v>
      </c>
      <c r="N141">
        <v>0.37801911441317848</v>
      </c>
      <c r="O141">
        <v>16.726666666666667</v>
      </c>
      <c r="P141">
        <v>17.366666666666664</v>
      </c>
      <c r="Q141">
        <v>3.2582612984186383</v>
      </c>
      <c r="R141">
        <v>1.5492541658165002</v>
      </c>
      <c r="S141">
        <v>190.18899999999999</v>
      </c>
      <c r="T141">
        <v>204.334</v>
      </c>
      <c r="U141">
        <v>325.80900000000003</v>
      </c>
      <c r="V141">
        <v>340.173</v>
      </c>
      <c r="W141">
        <v>279.73399999999998</v>
      </c>
      <c r="X141">
        <v>248.61799999999999</v>
      </c>
      <c r="Y141">
        <v>353.50799999999998</v>
      </c>
      <c r="Z141">
        <v>645.74</v>
      </c>
      <c r="AA141">
        <v>0.51800000000000002</v>
      </c>
      <c r="AB141">
        <v>745</v>
      </c>
      <c r="AC141">
        <v>483.2</v>
      </c>
      <c r="AD141">
        <v>461.6</v>
      </c>
      <c r="AE141">
        <v>300</v>
      </c>
      <c r="AF141">
        <v>0.22</v>
      </c>
      <c r="AG141">
        <v>459.3</v>
      </c>
      <c r="AH141">
        <v>0.52200000000000002</v>
      </c>
      <c r="AI141">
        <v>0.73499999999999999</v>
      </c>
      <c r="AJ141">
        <v>139.4</v>
      </c>
      <c r="AK141">
        <v>11</v>
      </c>
      <c r="AL141">
        <v>141.80000000000001</v>
      </c>
      <c r="AM141">
        <v>40.673589999999997</v>
      </c>
      <c r="AN141">
        <v>-85.831850000000003</v>
      </c>
      <c r="AO141">
        <v>225.7</v>
      </c>
      <c r="AP141">
        <v>221.2</v>
      </c>
      <c r="AQ141">
        <v>8.44</v>
      </c>
      <c r="AR141">
        <v>-109.1</v>
      </c>
      <c r="AS141">
        <v>11.9</v>
      </c>
      <c r="AT141">
        <v>0</v>
      </c>
      <c r="AU141">
        <v>27.452000000000002</v>
      </c>
      <c r="AV141">
        <v>7.55</v>
      </c>
      <c r="AW141">
        <v>0</v>
      </c>
      <c r="AX141">
        <v>-85.831824920000003</v>
      </c>
      <c r="AY141">
        <v>40.673640759999998</v>
      </c>
      <c r="AZ141">
        <f t="shared" si="6"/>
        <v>7</v>
      </c>
      <c r="BA141">
        <f t="shared" si="7"/>
        <v>18</v>
      </c>
      <c r="BB141">
        <f t="shared" si="8"/>
        <v>2024</v>
      </c>
      <c r="BD141" s="19">
        <v>45491</v>
      </c>
    </row>
    <row r="142" spans="1:56" x14ac:dyDescent="0.25">
      <c r="A142" s="25">
        <v>10407</v>
      </c>
      <c r="B142" t="s">
        <v>426</v>
      </c>
      <c r="C142" t="s">
        <v>426</v>
      </c>
      <c r="D142" s="27" t="s">
        <v>462</v>
      </c>
      <c r="E142" s="27">
        <v>7</v>
      </c>
      <c r="F142" s="56"/>
      <c r="G142">
        <v>6411</v>
      </c>
      <c r="H142" t="s">
        <v>17</v>
      </c>
      <c r="I142" t="s">
        <v>8</v>
      </c>
      <c r="J142">
        <v>1.0699999999999999E-2</v>
      </c>
      <c r="K142">
        <v>1.5389999999999999</v>
      </c>
      <c r="L142">
        <v>-4.0000000000000001E-3</v>
      </c>
      <c r="M142">
        <v>0.13102791878172587</v>
      </c>
      <c r="N142">
        <v>0.45027605693764094</v>
      </c>
      <c r="O142">
        <v>2.7766666666666668</v>
      </c>
      <c r="P142">
        <v>1.8933333333333333</v>
      </c>
      <c r="Q142">
        <v>2.7909656521586359</v>
      </c>
      <c r="R142">
        <v>1.284886349724546</v>
      </c>
      <c r="S142">
        <v>209.18700000000001</v>
      </c>
      <c r="T142">
        <v>242.28800000000001</v>
      </c>
      <c r="U142">
        <v>342.512</v>
      </c>
      <c r="V142">
        <v>353.50099999999998</v>
      </c>
      <c r="W142">
        <v>289.08300000000003</v>
      </c>
      <c r="X142">
        <v>258.613</v>
      </c>
      <c r="Y142">
        <v>312.37099999999998</v>
      </c>
      <c r="Z142">
        <v>574.81100000000004</v>
      </c>
      <c r="AA142">
        <v>0.55900000000000005</v>
      </c>
      <c r="AB142">
        <v>745.1</v>
      </c>
      <c r="AC142">
        <v>455.2</v>
      </c>
      <c r="AD142">
        <v>443.1</v>
      </c>
      <c r="AE142">
        <v>288</v>
      </c>
      <c r="AF142">
        <v>0.21</v>
      </c>
      <c r="AG142">
        <v>441.8</v>
      </c>
      <c r="AH142">
        <v>0.56799999999999995</v>
      </c>
      <c r="AI142">
        <v>0.79200000000000004</v>
      </c>
      <c r="AJ142">
        <v>99.2</v>
      </c>
      <c r="AK142">
        <v>7.98</v>
      </c>
      <c r="AL142">
        <v>101</v>
      </c>
      <c r="AM142">
        <v>40.687100000000001</v>
      </c>
      <c r="AN142">
        <v>-85.897319999999993</v>
      </c>
      <c r="AO142">
        <v>0</v>
      </c>
      <c r="AP142">
        <v>241.2</v>
      </c>
      <c r="AQ142">
        <v>8.15</v>
      </c>
      <c r="AR142">
        <v>-91</v>
      </c>
      <c r="AS142">
        <v>11.9</v>
      </c>
      <c r="AT142">
        <v>0</v>
      </c>
      <c r="AU142">
        <v>26.436</v>
      </c>
      <c r="AV142">
        <v>3.51</v>
      </c>
      <c r="AW142">
        <v>0</v>
      </c>
      <c r="AX142">
        <v>-85.897023200000007</v>
      </c>
      <c r="AY142">
        <v>40.687465150000001</v>
      </c>
      <c r="AZ142">
        <f t="shared" si="6"/>
        <v>7</v>
      </c>
      <c r="BA142">
        <f t="shared" si="7"/>
        <v>18</v>
      </c>
      <c r="BB142">
        <f t="shared" si="8"/>
        <v>2024</v>
      </c>
      <c r="BD142" s="19">
        <v>45491</v>
      </c>
    </row>
    <row r="143" spans="1:56" x14ac:dyDescent="0.25">
      <c r="A143" s="25">
        <v>10408</v>
      </c>
      <c r="B143" t="s">
        <v>427</v>
      </c>
      <c r="C143" t="s">
        <v>427</v>
      </c>
      <c r="D143" s="27" t="s">
        <v>463</v>
      </c>
      <c r="E143" s="27">
        <v>8</v>
      </c>
      <c r="F143" s="56"/>
      <c r="G143">
        <v>5401</v>
      </c>
      <c r="H143" t="s">
        <v>17</v>
      </c>
      <c r="I143" t="s">
        <v>8</v>
      </c>
      <c r="J143">
        <v>2.2000000000000001E-3</v>
      </c>
      <c r="K143">
        <v>1.536</v>
      </c>
      <c r="L143">
        <v>5.1999999999999998E-2</v>
      </c>
      <c r="M143">
        <v>0.05</v>
      </c>
      <c r="N143">
        <v>0.44720066481797649</v>
      </c>
      <c r="O143">
        <v>10.843333333333334</v>
      </c>
      <c r="P143">
        <v>8.9133333333333322</v>
      </c>
      <c r="Q143">
        <v>2.7421049283005265</v>
      </c>
      <c r="R143">
        <v>1.2714197102632117</v>
      </c>
      <c r="S143">
        <v>207.88300000000001</v>
      </c>
      <c r="T143">
        <v>250.178</v>
      </c>
      <c r="U143">
        <v>352.07</v>
      </c>
      <c r="V143">
        <v>357.36799999999999</v>
      </c>
      <c r="W143">
        <v>292.52800000000002</v>
      </c>
      <c r="X143">
        <v>261.178</v>
      </c>
      <c r="Y143">
        <v>320.99599999999998</v>
      </c>
      <c r="Z143">
        <v>593.78200000000004</v>
      </c>
      <c r="AA143">
        <v>0.51700000000000002</v>
      </c>
      <c r="AB143">
        <v>745.1</v>
      </c>
      <c r="AC143">
        <v>455.5</v>
      </c>
      <c r="AD143">
        <v>445.1</v>
      </c>
      <c r="AE143">
        <v>289</v>
      </c>
      <c r="AF143">
        <v>0.21</v>
      </c>
      <c r="AG143">
        <v>444</v>
      </c>
      <c r="AH143">
        <v>0.51</v>
      </c>
      <c r="AI143">
        <v>0.73299999999999998</v>
      </c>
      <c r="AJ143">
        <v>92.3</v>
      </c>
      <c r="AK143">
        <v>7.45</v>
      </c>
      <c r="AL143">
        <v>94</v>
      </c>
      <c r="AM143">
        <v>40.691510000000001</v>
      </c>
      <c r="AN143">
        <v>-85.908429999999996</v>
      </c>
      <c r="AO143">
        <v>226.6</v>
      </c>
      <c r="AP143">
        <v>259</v>
      </c>
      <c r="AQ143">
        <v>8.15</v>
      </c>
      <c r="AR143">
        <v>-91.1</v>
      </c>
      <c r="AS143">
        <v>11.9</v>
      </c>
      <c r="AT143">
        <v>0</v>
      </c>
      <c r="AU143">
        <v>26.227</v>
      </c>
      <c r="AV143">
        <v>3.3</v>
      </c>
      <c r="AW143">
        <v>0</v>
      </c>
      <c r="AX143">
        <v>-85.908408600000001</v>
      </c>
      <c r="AY143">
        <v>40.691498060000001</v>
      </c>
      <c r="AZ143">
        <f t="shared" si="6"/>
        <v>7</v>
      </c>
      <c r="BA143">
        <f t="shared" si="7"/>
        <v>18</v>
      </c>
      <c r="BB143">
        <f t="shared" si="8"/>
        <v>2024</v>
      </c>
      <c r="BD143" s="19">
        <v>45491</v>
      </c>
    </row>
    <row r="144" spans="1:56" x14ac:dyDescent="0.25">
      <c r="A144" s="25">
        <v>10409</v>
      </c>
      <c r="B144" t="s">
        <v>428</v>
      </c>
      <c r="C144" t="s">
        <v>428</v>
      </c>
      <c r="D144" s="27" t="s">
        <v>464</v>
      </c>
      <c r="E144" s="27">
        <v>9</v>
      </c>
      <c r="F144" s="56"/>
      <c r="G144">
        <v>4381</v>
      </c>
      <c r="H144" t="s">
        <v>17</v>
      </c>
      <c r="I144" t="s">
        <v>8</v>
      </c>
      <c r="J144">
        <v>1.0500000000000001E-2</v>
      </c>
      <c r="K144">
        <v>1.522</v>
      </c>
      <c r="L144">
        <v>4.0000000000000001E-3</v>
      </c>
      <c r="M144">
        <v>0.05</v>
      </c>
      <c r="N144">
        <v>0.36806250129913409</v>
      </c>
      <c r="O144">
        <v>3.09</v>
      </c>
      <c r="P144">
        <v>2.3033333333333332</v>
      </c>
      <c r="Q144">
        <v>2.6698534323826841</v>
      </c>
      <c r="R144">
        <v>1.6756229340950828</v>
      </c>
      <c r="S144">
        <v>214.85300000000001</v>
      </c>
      <c r="T144">
        <v>263.31099999999998</v>
      </c>
      <c r="U144">
        <v>365.70100000000002</v>
      </c>
      <c r="V144">
        <v>378.26799999999997</v>
      </c>
      <c r="W144">
        <v>292.733</v>
      </c>
      <c r="X144">
        <v>290.64699999999999</v>
      </c>
      <c r="Y144">
        <v>302.51799999999997</v>
      </c>
      <c r="Z144">
        <v>520.13900000000001</v>
      </c>
      <c r="AA144">
        <v>0.57399999999999995</v>
      </c>
      <c r="AB144">
        <v>745</v>
      </c>
      <c r="AC144">
        <v>451.8</v>
      </c>
      <c r="AD144">
        <v>444.3</v>
      </c>
      <c r="AE144">
        <v>289</v>
      </c>
      <c r="AF144">
        <v>0.21</v>
      </c>
      <c r="AG144">
        <v>443.5</v>
      </c>
      <c r="AH144">
        <v>0.52400000000000002</v>
      </c>
      <c r="AI144">
        <v>0.81399999999999995</v>
      </c>
      <c r="AJ144">
        <v>87.1</v>
      </c>
      <c r="AK144">
        <v>7.07</v>
      </c>
      <c r="AL144">
        <v>88.6</v>
      </c>
      <c r="AM144">
        <v>40.703710000000001</v>
      </c>
      <c r="AN144">
        <v>-85.929789999999997</v>
      </c>
      <c r="AO144">
        <v>222.3</v>
      </c>
      <c r="AP144">
        <v>214.6</v>
      </c>
      <c r="AQ144">
        <v>8.07</v>
      </c>
      <c r="AR144">
        <v>-86.4</v>
      </c>
      <c r="AS144">
        <v>11.9</v>
      </c>
      <c r="AT144">
        <v>0</v>
      </c>
      <c r="AU144">
        <v>25.885000000000002</v>
      </c>
      <c r="AV144">
        <v>3.18</v>
      </c>
      <c r="AW144">
        <v>0</v>
      </c>
      <c r="AX144">
        <v>-85.929832070000003</v>
      </c>
      <c r="AY144">
        <v>40.703734709999999</v>
      </c>
      <c r="AZ144">
        <f t="shared" si="6"/>
        <v>7</v>
      </c>
      <c r="BA144">
        <f t="shared" si="7"/>
        <v>18</v>
      </c>
      <c r="BB144">
        <f t="shared" si="8"/>
        <v>2024</v>
      </c>
      <c r="BD144" s="19">
        <v>45491</v>
      </c>
    </row>
    <row r="145" spans="1:56" x14ac:dyDescent="0.25">
      <c r="A145" s="25">
        <v>10410</v>
      </c>
      <c r="B145" t="s">
        <v>429</v>
      </c>
      <c r="C145" t="s">
        <v>429</v>
      </c>
      <c r="D145" s="27" t="s">
        <v>465</v>
      </c>
      <c r="E145" s="27">
        <v>10</v>
      </c>
      <c r="F145" s="56"/>
      <c r="G145">
        <v>2851</v>
      </c>
      <c r="H145" t="s">
        <v>17</v>
      </c>
      <c r="I145" t="s">
        <v>8</v>
      </c>
      <c r="J145">
        <v>7.3000000000000001E-3</v>
      </c>
      <c r="K145">
        <v>1.482</v>
      </c>
      <c r="L145">
        <v>5.2999999999999999E-2</v>
      </c>
      <c r="M145">
        <v>0.05</v>
      </c>
      <c r="N145">
        <v>0.40351668564358045</v>
      </c>
      <c r="O145">
        <v>11.406666666666666</v>
      </c>
      <c r="P145">
        <v>7.82</v>
      </c>
      <c r="Q145">
        <v>2.7613373408829736</v>
      </c>
      <c r="R145">
        <v>1.343853907365844</v>
      </c>
      <c r="S145">
        <v>221.79599999999999</v>
      </c>
      <c r="T145">
        <v>257.65100000000001</v>
      </c>
      <c r="U145">
        <v>365.02300000000002</v>
      </c>
      <c r="V145">
        <v>385.19799999999998</v>
      </c>
      <c r="W145">
        <v>307.37099999999998</v>
      </c>
      <c r="X145">
        <v>272.52100000000002</v>
      </c>
      <c r="Y145">
        <v>316.13900000000001</v>
      </c>
      <c r="Z145">
        <v>615.65099999999995</v>
      </c>
      <c r="AA145">
        <v>0.51400000000000001</v>
      </c>
      <c r="AB145">
        <v>745.2</v>
      </c>
      <c r="AC145">
        <v>458.2</v>
      </c>
      <c r="AD145">
        <v>447.7</v>
      </c>
      <c r="AE145">
        <v>291</v>
      </c>
      <c r="AF145">
        <v>0.21</v>
      </c>
      <c r="AG145">
        <v>446.6</v>
      </c>
      <c r="AH145">
        <v>0.51</v>
      </c>
      <c r="AI145">
        <v>0.72799999999999998</v>
      </c>
      <c r="AJ145">
        <v>86.2</v>
      </c>
      <c r="AK145">
        <v>6.96</v>
      </c>
      <c r="AL145">
        <v>87.7</v>
      </c>
      <c r="AM145">
        <v>40.693190000000001</v>
      </c>
      <c r="AN145">
        <v>-85.920400000000001</v>
      </c>
      <c r="AO145">
        <v>225.3</v>
      </c>
      <c r="AP145">
        <v>211.9</v>
      </c>
      <c r="AQ145">
        <v>8.1</v>
      </c>
      <c r="AR145">
        <v>-88.3</v>
      </c>
      <c r="AS145">
        <v>12</v>
      </c>
      <c r="AT145">
        <v>0</v>
      </c>
      <c r="AU145">
        <v>26.225000000000001</v>
      </c>
      <c r="AV145">
        <v>3.11</v>
      </c>
      <c r="AW145">
        <v>0</v>
      </c>
      <c r="AX145">
        <v>-85.920316959999994</v>
      </c>
      <c r="AY145">
        <v>40.693239810000001</v>
      </c>
      <c r="AZ145">
        <f t="shared" si="6"/>
        <v>7</v>
      </c>
      <c r="BA145">
        <f t="shared" si="7"/>
        <v>18</v>
      </c>
      <c r="BB145">
        <f t="shared" si="8"/>
        <v>2024</v>
      </c>
      <c r="BD145" s="19">
        <v>45491</v>
      </c>
    </row>
    <row r="146" spans="1:56" x14ac:dyDescent="0.25">
      <c r="A146" s="25">
        <v>10411</v>
      </c>
      <c r="B146" t="s">
        <v>430</v>
      </c>
      <c r="C146" t="s">
        <v>430</v>
      </c>
      <c r="D146" s="27" t="s">
        <v>466</v>
      </c>
      <c r="E146" s="27">
        <v>11</v>
      </c>
      <c r="F146" s="56"/>
      <c r="G146">
        <v>1731</v>
      </c>
      <c r="H146" t="s">
        <v>17</v>
      </c>
      <c r="I146" t="s">
        <v>8</v>
      </c>
      <c r="J146">
        <v>9.5999999999999992E-3</v>
      </c>
      <c r="K146">
        <v>1.5880000000000001</v>
      </c>
      <c r="L146">
        <v>4.0000000000000001E-3</v>
      </c>
      <c r="M146">
        <v>0.05</v>
      </c>
      <c r="N146">
        <v>0.43410082494934421</v>
      </c>
      <c r="O146">
        <v>3.01</v>
      </c>
      <c r="P146">
        <v>2.563333333333333</v>
      </c>
      <c r="Q146">
        <v>2.6105968098313599</v>
      </c>
      <c r="R146">
        <v>1.3487508671699653</v>
      </c>
      <c r="S146">
        <v>216.76900000000001</v>
      </c>
      <c r="T146">
        <v>269.90800000000002</v>
      </c>
      <c r="U146">
        <v>383.25400000000002</v>
      </c>
      <c r="V146">
        <v>392.83100000000002</v>
      </c>
      <c r="W146">
        <v>301.24599999999998</v>
      </c>
      <c r="X146">
        <v>299.24200000000002</v>
      </c>
      <c r="Y146">
        <v>305.077</v>
      </c>
      <c r="Z146">
        <v>539.02300000000002</v>
      </c>
      <c r="AA146">
        <v>0.51600000000000001</v>
      </c>
      <c r="AB146">
        <v>745.3</v>
      </c>
      <c r="AC146">
        <v>452</v>
      </c>
      <c r="AD146">
        <v>446</v>
      </c>
      <c r="AE146">
        <v>290</v>
      </c>
      <c r="AF146">
        <v>0.21</v>
      </c>
      <c r="AG146">
        <v>445.4</v>
      </c>
      <c r="AH146">
        <v>0.51900000000000002</v>
      </c>
      <c r="AI146">
        <v>0.73199999999999998</v>
      </c>
      <c r="AJ146">
        <v>77.8</v>
      </c>
      <c r="AK146">
        <v>6.34</v>
      </c>
      <c r="AL146">
        <v>79.2</v>
      </c>
      <c r="AM146">
        <v>40.710700000000003</v>
      </c>
      <c r="AN146">
        <v>-85.939250000000001</v>
      </c>
      <c r="AO146">
        <v>224.6</v>
      </c>
      <c r="AP146">
        <v>155.30000000000001</v>
      </c>
      <c r="AQ146">
        <v>8.0399999999999991</v>
      </c>
      <c r="AR146">
        <v>-84.4</v>
      </c>
      <c r="AS146">
        <v>11.9</v>
      </c>
      <c r="AT146">
        <v>0</v>
      </c>
      <c r="AU146">
        <v>25.704000000000001</v>
      </c>
      <c r="AV146">
        <v>2.61</v>
      </c>
      <c r="AW146">
        <v>0</v>
      </c>
      <c r="AX146">
        <v>-85.938840010000007</v>
      </c>
      <c r="AY146">
        <v>40.711004029999998</v>
      </c>
      <c r="AZ146">
        <f t="shared" si="6"/>
        <v>7</v>
      </c>
      <c r="BA146">
        <f t="shared" si="7"/>
        <v>18</v>
      </c>
      <c r="BB146">
        <f t="shared" si="8"/>
        <v>2024</v>
      </c>
      <c r="BD146" s="19">
        <v>45491</v>
      </c>
    </row>
    <row r="147" spans="1:56" x14ac:dyDescent="0.25">
      <c r="A147" s="25">
        <v>10412</v>
      </c>
      <c r="B147" t="s">
        <v>431</v>
      </c>
      <c r="C147" t="s">
        <v>431</v>
      </c>
      <c r="D147" s="27" t="s">
        <v>467</v>
      </c>
      <c r="E147" s="27">
        <v>12</v>
      </c>
      <c r="F147" s="56"/>
      <c r="G147">
        <v>661</v>
      </c>
      <c r="H147" t="s">
        <v>17</v>
      </c>
      <c r="I147" t="s">
        <v>8</v>
      </c>
      <c r="J147">
        <v>-4.5999999999999999E-3</v>
      </c>
      <c r="K147">
        <v>1.4</v>
      </c>
      <c r="L147">
        <v>1.7999999999999999E-2</v>
      </c>
      <c r="M147">
        <v>0.05</v>
      </c>
      <c r="N147">
        <v>0.38824831977577967</v>
      </c>
      <c r="O147">
        <v>2.5933333333333333</v>
      </c>
      <c r="P147">
        <v>1.6466666666666665</v>
      </c>
      <c r="Q147">
        <v>2.0149118147101555</v>
      </c>
      <c r="R147">
        <v>1.0275919200163233</v>
      </c>
      <c r="S147">
        <v>223.977</v>
      </c>
      <c r="T147">
        <v>290.70699999999999</v>
      </c>
      <c r="U147">
        <v>409.53699999999998</v>
      </c>
      <c r="V147">
        <v>430.548</v>
      </c>
      <c r="W147">
        <v>319.11200000000002</v>
      </c>
      <c r="X147">
        <v>321.11500000000001</v>
      </c>
      <c r="Y147">
        <v>312.11799999999999</v>
      </c>
      <c r="Z147">
        <v>547.04999999999995</v>
      </c>
      <c r="AA147">
        <v>0.54600000000000004</v>
      </c>
      <c r="AB147">
        <v>745.3</v>
      </c>
      <c r="AC147">
        <v>449.2</v>
      </c>
      <c r="AD147">
        <v>445.3</v>
      </c>
      <c r="AE147">
        <v>289</v>
      </c>
      <c r="AF147">
        <v>0.21</v>
      </c>
      <c r="AG147">
        <v>445</v>
      </c>
      <c r="AH147">
        <v>0.54400000000000004</v>
      </c>
      <c r="AI147">
        <v>0.77400000000000002</v>
      </c>
      <c r="AJ147">
        <v>69</v>
      </c>
      <c r="AK147">
        <v>5.65</v>
      </c>
      <c r="AL147">
        <v>70.2</v>
      </c>
      <c r="AM147">
        <v>40.71152</v>
      </c>
      <c r="AN147">
        <v>-85.951390000000004</v>
      </c>
      <c r="AO147">
        <v>227.4</v>
      </c>
      <c r="AP147">
        <v>204.6</v>
      </c>
      <c r="AQ147">
        <v>7.91</v>
      </c>
      <c r="AR147">
        <v>-76.3</v>
      </c>
      <c r="AS147">
        <v>11.9</v>
      </c>
      <c r="AT147">
        <v>0</v>
      </c>
      <c r="AU147">
        <v>25.448</v>
      </c>
      <c r="AV147">
        <v>2.9</v>
      </c>
      <c r="AW147">
        <v>0</v>
      </c>
      <c r="AX147">
        <v>-85.951248250000006</v>
      </c>
      <c r="AY147">
        <v>40.711554790000001</v>
      </c>
      <c r="AZ147">
        <f t="shared" si="6"/>
        <v>7</v>
      </c>
      <c r="BA147">
        <f t="shared" si="7"/>
        <v>18</v>
      </c>
      <c r="BB147">
        <f t="shared" si="8"/>
        <v>2024</v>
      </c>
      <c r="BD147" s="19">
        <v>45491</v>
      </c>
    </row>
    <row r="148" spans="1:56" x14ac:dyDescent="0.25">
      <c r="A148" s="25">
        <v>10413</v>
      </c>
      <c r="B148" t="s">
        <v>432</v>
      </c>
      <c r="C148" t="s">
        <v>432</v>
      </c>
      <c r="D148" s="27" t="s">
        <v>468</v>
      </c>
      <c r="E148" s="27">
        <v>13</v>
      </c>
      <c r="F148" s="56"/>
      <c r="G148">
        <v>13553</v>
      </c>
      <c r="H148" t="s">
        <v>17</v>
      </c>
      <c r="I148" t="s">
        <v>8</v>
      </c>
      <c r="J148">
        <v>4.4000000000000003E-3</v>
      </c>
      <c r="K148">
        <v>1.5980000000000001</v>
      </c>
      <c r="L148">
        <v>6.0000000000000001E-3</v>
      </c>
      <c r="M148">
        <v>0.10881979695431472</v>
      </c>
      <c r="N148">
        <v>0.35104990542288694</v>
      </c>
      <c r="O148">
        <v>37.883333333333333</v>
      </c>
      <c r="P148">
        <v>57.126666666666665</v>
      </c>
      <c r="Q148">
        <v>2.3891641676658857</v>
      </c>
      <c r="R148">
        <v>1.2952923893083044</v>
      </c>
      <c r="S148">
        <v>186.71600000000001</v>
      </c>
      <c r="T148">
        <v>231.79</v>
      </c>
      <c r="U148">
        <v>352.82299999999998</v>
      </c>
      <c r="V148">
        <v>376.30900000000003</v>
      </c>
      <c r="W148">
        <v>295.55200000000002</v>
      </c>
      <c r="X148">
        <v>268.70800000000003</v>
      </c>
      <c r="Y148">
        <v>344.423</v>
      </c>
      <c r="Z148">
        <v>647.20299999999997</v>
      </c>
      <c r="AA148">
        <v>0.56899999999999995</v>
      </c>
      <c r="AB148">
        <v>745</v>
      </c>
      <c r="AC148">
        <v>479.1</v>
      </c>
      <c r="AD148">
        <v>458.4</v>
      </c>
      <c r="AE148">
        <v>298</v>
      </c>
      <c r="AF148">
        <v>0.22</v>
      </c>
      <c r="AG148">
        <v>456.2</v>
      </c>
      <c r="AH148">
        <v>0.56499999999999995</v>
      </c>
      <c r="AI148">
        <v>0.80600000000000005</v>
      </c>
      <c r="AJ148">
        <v>147.1</v>
      </c>
      <c r="AK148">
        <v>11.63</v>
      </c>
      <c r="AL148">
        <v>149.69999999999999</v>
      </c>
      <c r="AM148">
        <v>40.672490000000003</v>
      </c>
      <c r="AN148">
        <v>-85.841579999999993</v>
      </c>
      <c r="AO148">
        <v>223</v>
      </c>
      <c r="AP148">
        <v>205.3</v>
      </c>
      <c r="AQ148">
        <v>8.5</v>
      </c>
      <c r="AR148">
        <v>-112.4</v>
      </c>
      <c r="AS148">
        <v>11.9</v>
      </c>
      <c r="AT148">
        <v>0</v>
      </c>
      <c r="AU148">
        <v>27.364999999999998</v>
      </c>
      <c r="AV148">
        <v>5.45</v>
      </c>
      <c r="AW148">
        <v>0</v>
      </c>
      <c r="AX148">
        <v>-85.841581189999999</v>
      </c>
      <c r="AY148">
        <v>40.672486220000003</v>
      </c>
      <c r="AZ148">
        <f t="shared" si="6"/>
        <v>7</v>
      </c>
      <c r="BA148">
        <f t="shared" si="7"/>
        <v>18</v>
      </c>
      <c r="BB148">
        <f t="shared" si="8"/>
        <v>2024</v>
      </c>
      <c r="BD148" s="19">
        <v>45491</v>
      </c>
    </row>
    <row r="149" spans="1:56" x14ac:dyDescent="0.25">
      <c r="A149" s="25">
        <v>10414</v>
      </c>
      <c r="B149" t="s">
        <v>433</v>
      </c>
      <c r="C149" t="s">
        <v>433</v>
      </c>
      <c r="D149" s="27" t="s">
        <v>497</v>
      </c>
      <c r="E149" s="27">
        <v>1</v>
      </c>
      <c r="F149" s="56"/>
      <c r="G149">
        <v>6865</v>
      </c>
      <c r="H149" t="s">
        <v>18</v>
      </c>
      <c r="I149" t="s">
        <v>8</v>
      </c>
      <c r="J149">
        <v>6.7999999999999996E-3</v>
      </c>
      <c r="K149">
        <v>3.931</v>
      </c>
      <c r="L149">
        <v>0.222</v>
      </c>
      <c r="N149">
        <v>0.14893269133829695</v>
      </c>
      <c r="O149">
        <v>34.623333333333335</v>
      </c>
      <c r="P149">
        <v>39.783333333333339</v>
      </c>
      <c r="Q149" s="27">
        <v>3.9052463392929377</v>
      </c>
      <c r="R149" s="27">
        <v>2.9990462716453399</v>
      </c>
      <c r="S149" s="27">
        <v>223.55099999999999</v>
      </c>
      <c r="T149" s="27">
        <v>269.37799999999999</v>
      </c>
      <c r="U149" s="27">
        <v>339.83800000000002</v>
      </c>
      <c r="V149" s="27">
        <v>331.83</v>
      </c>
      <c r="W149" s="27">
        <v>284.75299999999999</v>
      </c>
      <c r="X149" s="27">
        <v>263.40899999999999</v>
      </c>
      <c r="Y149" s="27">
        <v>329.87200000000001</v>
      </c>
      <c r="Z149" s="27">
        <v>674.18600000000004</v>
      </c>
      <c r="AA149" s="27">
        <v>0.52300000000000002</v>
      </c>
      <c r="AB149" s="27">
        <v>744.3</v>
      </c>
      <c r="AC149" s="27">
        <v>634.79999999999995</v>
      </c>
      <c r="AD149" s="27">
        <v>627.1</v>
      </c>
      <c r="AE149" s="27">
        <v>408</v>
      </c>
      <c r="AF149" s="27">
        <v>0.3</v>
      </c>
      <c r="AG149" s="27">
        <v>626.29999999999995</v>
      </c>
      <c r="AH149" s="27">
        <v>0.51700000000000002</v>
      </c>
      <c r="AI149" s="27">
        <v>0.74199999999999999</v>
      </c>
      <c r="AJ149" s="27">
        <v>231.1</v>
      </c>
      <c r="AK149" s="27">
        <v>18.84</v>
      </c>
      <c r="AL149" s="27">
        <v>235.9</v>
      </c>
      <c r="AM149" s="27">
        <v>40.835129999999999</v>
      </c>
      <c r="AN149" s="27">
        <v>-86.807209999999998</v>
      </c>
      <c r="AO149" s="27">
        <v>200.1</v>
      </c>
      <c r="AP149" s="27">
        <v>177.1</v>
      </c>
      <c r="AQ149" s="27">
        <v>8.33</v>
      </c>
      <c r="AR149" s="27">
        <v>-101.4</v>
      </c>
      <c r="AS149" s="27">
        <v>11.9</v>
      </c>
      <c r="AT149" s="27">
        <v>0</v>
      </c>
      <c r="AU149" s="27">
        <v>25.643999999999998</v>
      </c>
      <c r="AV149" s="27">
        <v>5.27</v>
      </c>
      <c r="AW149" s="27">
        <v>0</v>
      </c>
      <c r="AX149" s="27">
        <v>-86.807147639999997</v>
      </c>
      <c r="AY149" s="27">
        <v>40.835024840000003</v>
      </c>
      <c r="AZ149">
        <f t="shared" si="6"/>
        <v>7</v>
      </c>
      <c r="BA149">
        <f t="shared" si="7"/>
        <v>22</v>
      </c>
      <c r="BB149">
        <f t="shared" si="8"/>
        <v>2024</v>
      </c>
      <c r="BD149" s="19">
        <v>45495</v>
      </c>
    </row>
    <row r="150" spans="1:56" x14ac:dyDescent="0.25">
      <c r="A150" s="25">
        <v>10415</v>
      </c>
      <c r="B150" t="s">
        <v>434</v>
      </c>
      <c r="C150" t="s">
        <v>434</v>
      </c>
      <c r="D150" s="27" t="s">
        <v>498</v>
      </c>
      <c r="E150" s="27">
        <v>5</v>
      </c>
      <c r="F150" s="56"/>
      <c r="G150">
        <v>6425</v>
      </c>
      <c r="H150" t="s">
        <v>18</v>
      </c>
      <c r="I150" t="s">
        <v>8</v>
      </c>
      <c r="J150">
        <v>7.7000000000000002E-3</v>
      </c>
      <c r="K150">
        <v>4.1269999999999998</v>
      </c>
      <c r="L150">
        <v>0.22600000000000001</v>
      </c>
      <c r="N150">
        <v>9.6605479191300303E-2</v>
      </c>
      <c r="O150">
        <v>13.910000000000002</v>
      </c>
      <c r="P150">
        <v>15.016666666666666</v>
      </c>
      <c r="Q150" s="27">
        <v>4.1646306933096024</v>
      </c>
      <c r="R150" s="27">
        <v>3.0262875817077872</v>
      </c>
      <c r="S150" s="27">
        <v>241.13900000000001</v>
      </c>
      <c r="T150" s="27">
        <v>255.17</v>
      </c>
      <c r="U150" s="27">
        <v>310.64800000000002</v>
      </c>
      <c r="V150" s="27">
        <v>289.35300000000001</v>
      </c>
      <c r="W150" s="27">
        <v>256.58600000000001</v>
      </c>
      <c r="X150" s="27">
        <v>245.93100000000001</v>
      </c>
      <c r="Y150" s="27">
        <v>303.709</v>
      </c>
      <c r="Z150" s="27">
        <v>660.69799999999998</v>
      </c>
      <c r="AA150">
        <v>0.55600000000000005</v>
      </c>
      <c r="AB150">
        <v>744.6</v>
      </c>
      <c r="AC150">
        <v>575.79999999999995</v>
      </c>
      <c r="AD150">
        <v>567.79999999999995</v>
      </c>
      <c r="AE150">
        <v>369</v>
      </c>
      <c r="AF150">
        <v>0.27</v>
      </c>
      <c r="AG150">
        <v>567</v>
      </c>
      <c r="AH150">
        <v>0.55900000000000005</v>
      </c>
      <c r="AI150">
        <v>0.78900000000000003</v>
      </c>
      <c r="AJ150">
        <v>237.2</v>
      </c>
      <c r="AK150">
        <v>19.309999999999999</v>
      </c>
      <c r="AL150">
        <v>242.1</v>
      </c>
      <c r="AM150">
        <v>40.82385</v>
      </c>
      <c r="AN150">
        <v>-86.795929999999998</v>
      </c>
      <c r="AO150">
        <v>199.1</v>
      </c>
      <c r="AP150">
        <v>190.7</v>
      </c>
      <c r="AQ150">
        <v>8.4</v>
      </c>
      <c r="AR150">
        <v>-105.8</v>
      </c>
      <c r="AS150">
        <v>11.9</v>
      </c>
      <c r="AT150">
        <v>0</v>
      </c>
      <c r="AU150">
        <v>25.739000000000001</v>
      </c>
      <c r="AV150">
        <v>4.18</v>
      </c>
      <c r="AW150">
        <v>0</v>
      </c>
      <c r="AX150">
        <v>-86.795836289999997</v>
      </c>
      <c r="AY150">
        <v>40.823874850000003</v>
      </c>
      <c r="AZ150">
        <f t="shared" si="6"/>
        <v>7</v>
      </c>
      <c r="BA150">
        <f t="shared" si="7"/>
        <v>22</v>
      </c>
      <c r="BB150">
        <f t="shared" si="8"/>
        <v>2024</v>
      </c>
      <c r="BD150" s="19">
        <v>45495</v>
      </c>
    </row>
    <row r="151" spans="1:56" x14ac:dyDescent="0.25">
      <c r="A151" s="25">
        <v>10416</v>
      </c>
      <c r="B151" t="s">
        <v>435</v>
      </c>
      <c r="C151" t="s">
        <v>435</v>
      </c>
      <c r="D151" s="27" t="s">
        <v>477</v>
      </c>
      <c r="E151" s="27">
        <v>6</v>
      </c>
      <c r="F151" s="56"/>
      <c r="G151">
        <v>8245</v>
      </c>
      <c r="H151" t="s">
        <v>18</v>
      </c>
      <c r="I151" t="s">
        <v>8</v>
      </c>
      <c r="J151">
        <v>2.06E-2</v>
      </c>
      <c r="K151">
        <v>2.7549999999999999</v>
      </c>
      <c r="L151">
        <v>0.28000000000000003</v>
      </c>
      <c r="N151">
        <v>0.34392617927543728</v>
      </c>
      <c r="O151">
        <v>0.95333333333333325</v>
      </c>
      <c r="P151">
        <v>1.2433333333333334</v>
      </c>
      <c r="Q151" s="27">
        <v>5.2948655718253645</v>
      </c>
      <c r="R151" s="27">
        <v>1.9848623873945135</v>
      </c>
      <c r="S151" s="27">
        <v>238.84</v>
      </c>
      <c r="T151" s="27">
        <v>273.78300000000002</v>
      </c>
      <c r="U151" s="27">
        <v>337.49200000000002</v>
      </c>
      <c r="V151" s="27">
        <v>327.20400000000001</v>
      </c>
      <c r="W151" s="27">
        <v>301.18</v>
      </c>
      <c r="X151" s="27">
        <v>308.54399999999998</v>
      </c>
      <c r="Y151" s="27">
        <v>324.46699999999998</v>
      </c>
      <c r="Z151" s="27">
        <v>658.43100000000004</v>
      </c>
      <c r="AA151">
        <v>0.48299999999999998</v>
      </c>
      <c r="AB151">
        <v>744.1</v>
      </c>
      <c r="AC151">
        <v>539.1</v>
      </c>
      <c r="AD151">
        <v>570.6</v>
      </c>
      <c r="AE151">
        <v>371</v>
      </c>
      <c r="AF151">
        <v>0.28000000000000003</v>
      </c>
      <c r="AG151">
        <v>573.6</v>
      </c>
      <c r="AH151">
        <v>0.49099999999999999</v>
      </c>
      <c r="AI151">
        <v>0.68500000000000005</v>
      </c>
      <c r="AJ151">
        <v>80.3</v>
      </c>
      <c r="AK151">
        <v>7</v>
      </c>
      <c r="AL151">
        <v>82</v>
      </c>
      <c r="AM151">
        <v>40.834809999999997</v>
      </c>
      <c r="AN151">
        <v>-86.781809999999993</v>
      </c>
      <c r="AO151">
        <v>201.3</v>
      </c>
      <c r="AP151">
        <v>173.6</v>
      </c>
      <c r="AQ151">
        <v>7.61</v>
      </c>
      <c r="AR151">
        <v>-58</v>
      </c>
      <c r="AS151">
        <v>11.9</v>
      </c>
      <c r="AT151">
        <v>0</v>
      </c>
      <c r="AU151">
        <v>22.113</v>
      </c>
      <c r="AV151">
        <v>6.45</v>
      </c>
      <c r="AW151">
        <v>0</v>
      </c>
      <c r="AX151">
        <v>-86.781764559999999</v>
      </c>
      <c r="AY151">
        <v>40.834882550000003</v>
      </c>
      <c r="AZ151">
        <f t="shared" si="6"/>
        <v>7</v>
      </c>
      <c r="BA151">
        <f t="shared" si="7"/>
        <v>22</v>
      </c>
      <c r="BB151">
        <f t="shared" si="8"/>
        <v>2024</v>
      </c>
      <c r="BD151" s="19">
        <v>45495</v>
      </c>
    </row>
    <row r="152" spans="1:56" x14ac:dyDescent="0.25">
      <c r="A152" s="25">
        <v>10417</v>
      </c>
      <c r="B152" t="s">
        <v>436</v>
      </c>
      <c r="C152" t="s">
        <v>436</v>
      </c>
      <c r="D152" s="27" t="s">
        <v>478</v>
      </c>
      <c r="E152" s="27">
        <v>8</v>
      </c>
      <c r="F152" s="56"/>
      <c r="G152">
        <v>5065</v>
      </c>
      <c r="H152" t="s">
        <v>18</v>
      </c>
      <c r="I152" t="s">
        <v>8</v>
      </c>
      <c r="J152">
        <v>2.35E-2</v>
      </c>
      <c r="K152">
        <v>2.8180000000000001</v>
      </c>
      <c r="L152">
        <v>0.23799999999999999</v>
      </c>
      <c r="N152">
        <v>0.12225287361321316</v>
      </c>
      <c r="O152">
        <v>4.26</v>
      </c>
      <c r="P152">
        <v>3.8433333333333337</v>
      </c>
      <c r="Q152" s="27">
        <v>6.0839737885284375</v>
      </c>
      <c r="R152" s="27">
        <v>2.5371547254753954</v>
      </c>
      <c r="S152" s="27">
        <v>235.99100000000001</v>
      </c>
      <c r="T152" s="27">
        <v>280.80700000000002</v>
      </c>
      <c r="U152" s="27">
        <v>331.60899999999998</v>
      </c>
      <c r="V152" s="27">
        <v>319.83499999999998</v>
      </c>
      <c r="W152" s="27">
        <v>290.66800000000001</v>
      </c>
      <c r="X152" s="27">
        <v>294.43</v>
      </c>
      <c r="Y152" s="27">
        <v>306.63900000000001</v>
      </c>
      <c r="Z152" s="27">
        <v>604.51499999999999</v>
      </c>
      <c r="AA152">
        <v>0.50900000000000001</v>
      </c>
      <c r="AB152">
        <v>744.7</v>
      </c>
      <c r="AC152">
        <v>536.79999999999995</v>
      </c>
      <c r="AD152">
        <v>567.70000000000005</v>
      </c>
      <c r="AE152">
        <v>369</v>
      </c>
      <c r="AF152">
        <v>0.27</v>
      </c>
      <c r="AG152">
        <v>570.70000000000005</v>
      </c>
      <c r="AH152">
        <v>0.50600000000000001</v>
      </c>
      <c r="AI152">
        <v>0.72199999999999998</v>
      </c>
      <c r="AJ152">
        <v>85.7</v>
      </c>
      <c r="AK152">
        <v>7.46</v>
      </c>
      <c r="AL152">
        <v>87.5</v>
      </c>
      <c r="AM152">
        <v>40.81118</v>
      </c>
      <c r="AN152">
        <v>-86.794169999999994</v>
      </c>
      <c r="AO152">
        <v>200.7</v>
      </c>
      <c r="AP152">
        <v>118.8</v>
      </c>
      <c r="AQ152">
        <v>7.66</v>
      </c>
      <c r="AR152">
        <v>-60.6</v>
      </c>
      <c r="AS152">
        <v>11.9</v>
      </c>
      <c r="AT152">
        <v>0</v>
      </c>
      <c r="AU152">
        <v>22.146000000000001</v>
      </c>
      <c r="AV152">
        <v>4.59</v>
      </c>
      <c r="AW152">
        <v>0</v>
      </c>
      <c r="AX152">
        <v>-86.794299730000006</v>
      </c>
      <c r="AY152">
        <v>40.81108966</v>
      </c>
      <c r="AZ152">
        <f t="shared" si="6"/>
        <v>7</v>
      </c>
      <c r="BA152">
        <f t="shared" si="7"/>
        <v>22</v>
      </c>
      <c r="BB152">
        <f t="shared" si="8"/>
        <v>2024</v>
      </c>
      <c r="BD152" s="19">
        <v>45495</v>
      </c>
    </row>
    <row r="153" spans="1:56" x14ac:dyDescent="0.25">
      <c r="A153" s="25">
        <v>10418</v>
      </c>
      <c r="B153" t="s">
        <v>437</v>
      </c>
      <c r="C153" t="s">
        <v>437</v>
      </c>
      <c r="D153" s="27" t="s">
        <v>479</v>
      </c>
      <c r="E153" s="27">
        <v>9</v>
      </c>
      <c r="F153" s="56"/>
      <c r="G153">
        <v>3385</v>
      </c>
      <c r="H153" t="s">
        <v>18</v>
      </c>
      <c r="I153" t="s">
        <v>8</v>
      </c>
      <c r="J153">
        <v>1.83E-2</v>
      </c>
      <c r="K153">
        <v>3.3580000000000001</v>
      </c>
      <c r="L153">
        <v>0.27100000000000002</v>
      </c>
      <c r="N153">
        <v>0.10620028409122534</v>
      </c>
      <c r="O153">
        <v>6.6633333333333331</v>
      </c>
      <c r="P153">
        <v>5.46</v>
      </c>
      <c r="Q153" s="27">
        <v>6.130491060593803</v>
      </c>
      <c r="R153" s="27">
        <v>2.3694693279798846</v>
      </c>
      <c r="S153" s="27">
        <v>300.46800000000002</v>
      </c>
      <c r="T153" s="27">
        <v>317.846</v>
      </c>
      <c r="U153" s="27">
        <v>367.35199999999998</v>
      </c>
      <c r="V153" s="27">
        <v>354.84500000000003</v>
      </c>
      <c r="W153" s="27">
        <v>313.608</v>
      </c>
      <c r="X153" s="27">
        <v>310.59899999999999</v>
      </c>
      <c r="Y153" s="27">
        <v>349.387</v>
      </c>
      <c r="Z153" s="27">
        <v>731.42700000000002</v>
      </c>
      <c r="AA153">
        <v>0.53100000000000003</v>
      </c>
      <c r="AB153">
        <v>744.9</v>
      </c>
      <c r="AC153">
        <v>536.5</v>
      </c>
      <c r="AD153">
        <v>562.5</v>
      </c>
      <c r="AE153">
        <v>366</v>
      </c>
      <c r="AF153">
        <v>0.27</v>
      </c>
      <c r="AG153">
        <v>565.1</v>
      </c>
      <c r="AH153">
        <v>0.52500000000000002</v>
      </c>
      <c r="AI153">
        <v>0.754</v>
      </c>
      <c r="AJ153">
        <v>84.9</v>
      </c>
      <c r="AK153">
        <v>7.33</v>
      </c>
      <c r="AL153">
        <v>86.6</v>
      </c>
      <c r="AM153">
        <v>40.804319999999997</v>
      </c>
      <c r="AN153">
        <v>-86.774640000000005</v>
      </c>
      <c r="AO153">
        <v>196.6</v>
      </c>
      <c r="AP153">
        <v>142.6</v>
      </c>
      <c r="AQ153">
        <v>7.63</v>
      </c>
      <c r="AR153">
        <v>-58.9</v>
      </c>
      <c r="AS153">
        <v>11.9</v>
      </c>
      <c r="AT153">
        <v>0</v>
      </c>
      <c r="AU153">
        <v>22.577000000000002</v>
      </c>
      <c r="AV153">
        <v>3.64</v>
      </c>
      <c r="AW153">
        <v>0</v>
      </c>
      <c r="AX153">
        <v>-86.774830640000005</v>
      </c>
      <c r="AY153">
        <v>40.804242270000003</v>
      </c>
      <c r="AZ153">
        <f t="shared" si="6"/>
        <v>7</v>
      </c>
      <c r="BA153">
        <f t="shared" si="7"/>
        <v>22</v>
      </c>
      <c r="BB153">
        <f t="shared" si="8"/>
        <v>2024</v>
      </c>
      <c r="BD153" s="19">
        <v>45495</v>
      </c>
    </row>
    <row r="154" spans="1:56" x14ac:dyDescent="0.25">
      <c r="A154" s="25">
        <v>10419</v>
      </c>
      <c r="B154" t="s">
        <v>438</v>
      </c>
      <c r="C154" t="s">
        <v>438</v>
      </c>
      <c r="D154" s="27" t="s">
        <v>480</v>
      </c>
      <c r="E154" s="27">
        <v>10</v>
      </c>
      <c r="F154" s="56"/>
      <c r="G154">
        <v>2205</v>
      </c>
      <c r="H154" t="s">
        <v>18</v>
      </c>
      <c r="I154" t="s">
        <v>8</v>
      </c>
      <c r="J154">
        <v>6.3E-3</v>
      </c>
      <c r="K154">
        <v>2.7370000000000001</v>
      </c>
      <c r="L154">
        <v>0.23699999999999999</v>
      </c>
      <c r="N154">
        <v>0.10782122717448141</v>
      </c>
      <c r="O154">
        <v>8.9099999999999984</v>
      </c>
      <c r="P154">
        <v>7.996666666666667</v>
      </c>
      <c r="Q154" s="27">
        <v>5.815488229107677</v>
      </c>
      <c r="R154" s="27">
        <v>2.1705068707830453</v>
      </c>
      <c r="S154" s="27">
        <v>366.815</v>
      </c>
      <c r="T154" s="27">
        <v>366.666</v>
      </c>
      <c r="U154" s="27">
        <v>422.29599999999999</v>
      </c>
      <c r="V154" s="27">
        <v>398.85700000000003</v>
      </c>
      <c r="W154" s="27">
        <v>367.71499999999997</v>
      </c>
      <c r="X154" s="27">
        <v>366.13499999999999</v>
      </c>
      <c r="Y154" s="27">
        <v>381.11099999999999</v>
      </c>
      <c r="Z154" s="27">
        <v>633.05700000000002</v>
      </c>
      <c r="AA154">
        <v>0.56000000000000005</v>
      </c>
      <c r="AB154">
        <v>744.7</v>
      </c>
      <c r="AC154">
        <v>529.79999999999995</v>
      </c>
      <c r="AD154">
        <v>556.20000000000005</v>
      </c>
      <c r="AE154">
        <v>362</v>
      </c>
      <c r="AF154">
        <v>0.27</v>
      </c>
      <c r="AG154">
        <v>558.79999999999995</v>
      </c>
      <c r="AH154">
        <v>0.55500000000000005</v>
      </c>
      <c r="AI154">
        <v>0.79500000000000004</v>
      </c>
      <c r="AJ154">
        <v>84.7</v>
      </c>
      <c r="AK154">
        <v>7.32</v>
      </c>
      <c r="AL154">
        <v>86.5</v>
      </c>
      <c r="AM154">
        <v>40.794710000000002</v>
      </c>
      <c r="AN154">
        <v>-86.774330000000006</v>
      </c>
      <c r="AO154">
        <v>202.8</v>
      </c>
      <c r="AP154">
        <v>181.4</v>
      </c>
      <c r="AQ154">
        <v>7.64</v>
      </c>
      <c r="AR154">
        <v>-59.7</v>
      </c>
      <c r="AS154">
        <v>11.9</v>
      </c>
      <c r="AT154">
        <v>0</v>
      </c>
      <c r="AU154">
        <v>22.51</v>
      </c>
      <c r="AV154">
        <v>3.89</v>
      </c>
      <c r="AW154">
        <v>0</v>
      </c>
      <c r="AX154">
        <v>-86.774344880000001</v>
      </c>
      <c r="AY154">
        <v>40.794689409999997</v>
      </c>
      <c r="AZ154">
        <f t="shared" si="6"/>
        <v>7</v>
      </c>
      <c r="BA154">
        <f t="shared" si="7"/>
        <v>22</v>
      </c>
      <c r="BB154">
        <f t="shared" si="8"/>
        <v>2024</v>
      </c>
      <c r="BD154" s="19">
        <v>45495</v>
      </c>
    </row>
    <row r="155" spans="1:56" x14ac:dyDescent="0.25">
      <c r="A155" s="25">
        <v>10420</v>
      </c>
      <c r="B155" t="s">
        <v>439</v>
      </c>
      <c r="C155" t="s">
        <v>439</v>
      </c>
      <c r="D155" s="27" t="s">
        <v>481</v>
      </c>
      <c r="E155" s="27">
        <v>11</v>
      </c>
      <c r="F155" s="56"/>
      <c r="G155">
        <v>1385</v>
      </c>
      <c r="H155" t="s">
        <v>18</v>
      </c>
      <c r="I155" t="s">
        <v>8</v>
      </c>
      <c r="J155">
        <v>9.5999999999999992E-3</v>
      </c>
      <c r="K155">
        <v>3.3069999999999999</v>
      </c>
      <c r="L155">
        <v>0.27100000000000002</v>
      </c>
      <c r="N155">
        <v>7.2312840697886044E-2</v>
      </c>
      <c r="O155">
        <v>13.160000000000002</v>
      </c>
      <c r="P155">
        <v>7.003333333333333</v>
      </c>
      <c r="Q155" s="27">
        <v>5.1430102742496562</v>
      </c>
      <c r="R155" s="27">
        <v>2.8953275059260948</v>
      </c>
      <c r="S155" s="27"/>
      <c r="T155" s="27"/>
      <c r="U155" s="27"/>
      <c r="V155" s="27"/>
      <c r="W155" s="27"/>
      <c r="X155" s="27"/>
      <c r="Y155" s="27"/>
      <c r="Z155" s="27"/>
      <c r="AA155">
        <v>0.53200000000000003</v>
      </c>
      <c r="AB155">
        <v>744.6</v>
      </c>
      <c r="AC155">
        <v>596.70000000000005</v>
      </c>
      <c r="AD155">
        <v>617.4</v>
      </c>
      <c r="AE155">
        <v>401</v>
      </c>
      <c r="AF155">
        <v>0.3</v>
      </c>
      <c r="AG155">
        <v>619.5</v>
      </c>
      <c r="AH155">
        <v>0.54200000000000004</v>
      </c>
      <c r="AI155">
        <v>0.755</v>
      </c>
      <c r="AJ155">
        <v>116.6</v>
      </c>
      <c r="AK155">
        <v>9.94</v>
      </c>
      <c r="AL155">
        <v>119</v>
      </c>
      <c r="AM155">
        <v>40.788649999999997</v>
      </c>
      <c r="AN155">
        <v>-86.772049999999993</v>
      </c>
      <c r="AO155">
        <v>200.6</v>
      </c>
      <c r="AP155">
        <v>208.7</v>
      </c>
      <c r="AQ155">
        <v>7.89</v>
      </c>
      <c r="AR155">
        <v>-74.599999999999994</v>
      </c>
      <c r="AS155">
        <v>11.9</v>
      </c>
      <c r="AT155">
        <v>0</v>
      </c>
      <c r="AU155">
        <v>23.24</v>
      </c>
      <c r="AV155">
        <v>4.29</v>
      </c>
      <c r="AW155">
        <v>0</v>
      </c>
      <c r="AX155">
        <v>-86.772130180000005</v>
      </c>
      <c r="AY155">
        <v>40.78862204</v>
      </c>
      <c r="AZ155">
        <f t="shared" si="6"/>
        <v>7</v>
      </c>
      <c r="BA155">
        <f t="shared" si="7"/>
        <v>22</v>
      </c>
      <c r="BB155">
        <f t="shared" si="8"/>
        <v>2024</v>
      </c>
      <c r="BD155" s="19">
        <v>45495</v>
      </c>
    </row>
    <row r="156" spans="1:56" x14ac:dyDescent="0.25">
      <c r="A156" s="25">
        <v>10421</v>
      </c>
      <c r="B156" t="s">
        <v>440</v>
      </c>
      <c r="C156" t="s">
        <v>440</v>
      </c>
      <c r="D156" s="27" t="s">
        <v>482</v>
      </c>
      <c r="E156" s="27">
        <v>12</v>
      </c>
      <c r="F156" s="56"/>
      <c r="G156">
        <v>275</v>
      </c>
      <c r="H156" t="s">
        <v>18</v>
      </c>
      <c r="I156" t="s">
        <v>8</v>
      </c>
      <c r="J156">
        <v>-5.45E-2</v>
      </c>
      <c r="K156">
        <v>2.8460000000000001</v>
      </c>
      <c r="L156">
        <v>0.214</v>
      </c>
      <c r="N156">
        <v>0.49193282153122631</v>
      </c>
      <c r="O156">
        <v>4.34</v>
      </c>
      <c r="P156">
        <v>5.8166666666666673</v>
      </c>
      <c r="Q156" s="27">
        <v>5.1414934066823079</v>
      </c>
      <c r="R156" s="27">
        <v>2.0764739041971154</v>
      </c>
      <c r="S156" s="27"/>
      <c r="T156" s="27"/>
      <c r="U156" s="27"/>
      <c r="V156" s="27"/>
      <c r="W156" s="27"/>
      <c r="X156" s="27"/>
      <c r="Y156" s="27"/>
      <c r="Z156" s="27"/>
      <c r="AA156">
        <v>0.51900000000000002</v>
      </c>
      <c r="AB156">
        <v>744.7</v>
      </c>
      <c r="AC156">
        <v>533.79999999999995</v>
      </c>
      <c r="AD156">
        <v>559.9</v>
      </c>
      <c r="AE156">
        <v>364</v>
      </c>
      <c r="AF156">
        <v>0.27</v>
      </c>
      <c r="AG156">
        <v>562.5</v>
      </c>
      <c r="AH156">
        <v>0.52400000000000002</v>
      </c>
      <c r="AI156">
        <v>0.73599999999999999</v>
      </c>
      <c r="AJ156">
        <v>84.5</v>
      </c>
      <c r="AK156">
        <v>7.3</v>
      </c>
      <c r="AL156">
        <v>86.3</v>
      </c>
      <c r="AM156">
        <v>40.782209999999999</v>
      </c>
      <c r="AN156">
        <v>-86.761799999999994</v>
      </c>
      <c r="AO156">
        <v>201.9</v>
      </c>
      <c r="AP156">
        <v>216.2</v>
      </c>
      <c r="AQ156">
        <v>7.64</v>
      </c>
      <c r="AR156">
        <v>-59.5</v>
      </c>
      <c r="AS156">
        <v>11.9</v>
      </c>
      <c r="AT156">
        <v>0</v>
      </c>
      <c r="AU156">
        <v>22.553999999999998</v>
      </c>
      <c r="AV156">
        <v>4.09</v>
      </c>
      <c r="AW156">
        <v>0</v>
      </c>
      <c r="AX156">
        <v>-86.762205379999997</v>
      </c>
      <c r="AY156">
        <v>40.782380209999999</v>
      </c>
      <c r="AZ156">
        <f t="shared" si="6"/>
        <v>7</v>
      </c>
      <c r="BA156">
        <f t="shared" si="7"/>
        <v>22</v>
      </c>
      <c r="BB156">
        <f t="shared" si="8"/>
        <v>2024</v>
      </c>
      <c r="BD156" s="19">
        <v>45495</v>
      </c>
    </row>
    <row r="157" spans="1:56" x14ac:dyDescent="0.25">
      <c r="A157" s="25">
        <v>10422</v>
      </c>
      <c r="B157" t="s">
        <v>441</v>
      </c>
      <c r="C157" t="s">
        <v>441</v>
      </c>
      <c r="D157" s="27" t="s">
        <v>483</v>
      </c>
      <c r="E157" s="27">
        <v>14</v>
      </c>
      <c r="F157" s="56"/>
      <c r="G157">
        <v>4225</v>
      </c>
      <c r="H157" t="s">
        <v>18</v>
      </c>
      <c r="I157" t="s">
        <v>8</v>
      </c>
      <c r="J157">
        <v>1.78E-2</v>
      </c>
      <c r="K157">
        <v>2.58</v>
      </c>
      <c r="L157">
        <v>0.25900000000000001</v>
      </c>
      <c r="N157">
        <v>3.8508132716297092E-2</v>
      </c>
      <c r="O157">
        <v>5.1099999999999994</v>
      </c>
      <c r="P157">
        <v>4.5166666666666666</v>
      </c>
      <c r="Q157" s="27">
        <v>5.2107636922579079</v>
      </c>
      <c r="R157" s="27">
        <v>2.0324842331333111</v>
      </c>
      <c r="S157" s="27"/>
      <c r="T157" s="27"/>
      <c r="U157" s="27"/>
      <c r="V157" s="27"/>
      <c r="W157" s="27"/>
      <c r="X157" s="27"/>
      <c r="Y157" s="27"/>
      <c r="Z157" s="27"/>
      <c r="AA157">
        <v>0.49199999999999999</v>
      </c>
      <c r="AB157">
        <v>744.7</v>
      </c>
      <c r="AC157">
        <v>538</v>
      </c>
      <c r="AD157">
        <v>569.70000000000005</v>
      </c>
      <c r="AE157">
        <v>370</v>
      </c>
      <c r="AF157">
        <v>0.28000000000000003</v>
      </c>
      <c r="AG157">
        <v>572.79999999999995</v>
      </c>
      <c r="AH157">
        <v>0.51700000000000002</v>
      </c>
      <c r="AI157">
        <v>0.69799999999999995</v>
      </c>
      <c r="AJ157">
        <v>84.3</v>
      </c>
      <c r="AK157">
        <v>7.35</v>
      </c>
      <c r="AL157">
        <v>86</v>
      </c>
      <c r="AM157">
        <v>40.807360000000003</v>
      </c>
      <c r="AN157">
        <v>-86.784760000000006</v>
      </c>
      <c r="AO157">
        <v>198.9</v>
      </c>
      <c r="AP157">
        <v>183.3</v>
      </c>
      <c r="AQ157">
        <v>7.68</v>
      </c>
      <c r="AR157">
        <v>-61.8</v>
      </c>
      <c r="AS157">
        <v>11.9</v>
      </c>
      <c r="AT157">
        <v>0</v>
      </c>
      <c r="AU157">
        <v>22.088999999999999</v>
      </c>
      <c r="AV157">
        <v>4.03</v>
      </c>
      <c r="AW157">
        <v>0</v>
      </c>
      <c r="AX157">
        <v>-86.785247049999995</v>
      </c>
      <c r="AY157">
        <v>40.807313710000003</v>
      </c>
      <c r="AZ157">
        <f t="shared" si="6"/>
        <v>7</v>
      </c>
      <c r="BA157">
        <f t="shared" si="7"/>
        <v>22</v>
      </c>
      <c r="BB157">
        <f t="shared" si="8"/>
        <v>2024</v>
      </c>
      <c r="BD157" s="19">
        <v>45495</v>
      </c>
    </row>
    <row r="158" spans="1:56" x14ac:dyDescent="0.25">
      <c r="A158" s="25">
        <v>10423</v>
      </c>
      <c r="B158" t="s">
        <v>442</v>
      </c>
      <c r="C158" t="s">
        <v>442</v>
      </c>
      <c r="D158" s="27" t="s">
        <v>484</v>
      </c>
      <c r="E158" s="27">
        <v>15</v>
      </c>
      <c r="F158" s="56"/>
      <c r="G158">
        <v>2905</v>
      </c>
      <c r="H158" t="s">
        <v>18</v>
      </c>
      <c r="I158" t="s">
        <v>8</v>
      </c>
      <c r="J158">
        <v>1.11E-2</v>
      </c>
      <c r="K158">
        <v>2.4369999999999998</v>
      </c>
      <c r="L158">
        <v>0.26300000000000001</v>
      </c>
      <c r="N158">
        <v>1.1616613765205942E-2</v>
      </c>
      <c r="O158">
        <v>5.666666666666667</v>
      </c>
      <c r="P158">
        <v>6.3999999999999995</v>
      </c>
      <c r="Q158" s="27">
        <v>5.1162122805598251</v>
      </c>
      <c r="R158" s="27">
        <v>2.0552862185929892</v>
      </c>
      <c r="S158" s="27"/>
      <c r="T158" s="27"/>
      <c r="U158" s="27"/>
      <c r="V158" s="27"/>
      <c r="W158" s="27"/>
      <c r="X158" s="27"/>
      <c r="Y158" s="27"/>
      <c r="Z158" s="27"/>
      <c r="AA158">
        <v>0.55500000000000005</v>
      </c>
      <c r="AB158">
        <v>744.8</v>
      </c>
      <c r="AC158">
        <v>537.29999999999995</v>
      </c>
      <c r="AD158">
        <v>561.5</v>
      </c>
      <c r="AE158">
        <v>365</v>
      </c>
      <c r="AF158">
        <v>0.27</v>
      </c>
      <c r="AG158">
        <v>563.9</v>
      </c>
      <c r="AH158">
        <v>0.55600000000000005</v>
      </c>
      <c r="AI158">
        <v>0.78700000000000003</v>
      </c>
      <c r="AJ158">
        <v>84.1</v>
      </c>
      <c r="AK158">
        <v>7.24</v>
      </c>
      <c r="AL158">
        <v>85.8</v>
      </c>
      <c r="AM158">
        <v>40.798760000000001</v>
      </c>
      <c r="AN158">
        <v>-86.777910000000006</v>
      </c>
      <c r="AO158">
        <v>196.7</v>
      </c>
      <c r="AP158">
        <v>148.5</v>
      </c>
      <c r="AQ158">
        <v>7.64</v>
      </c>
      <c r="AR158">
        <v>-59.6</v>
      </c>
      <c r="AS158">
        <v>11.9</v>
      </c>
      <c r="AT158">
        <v>0</v>
      </c>
      <c r="AU158">
        <v>22.744</v>
      </c>
      <c r="AV158">
        <v>3.3</v>
      </c>
      <c r="AW158">
        <v>0</v>
      </c>
      <c r="AX158">
        <v>-86.777779629999998</v>
      </c>
      <c r="AY158">
        <v>40.799243930000003</v>
      </c>
      <c r="AZ158">
        <f t="shared" si="6"/>
        <v>7</v>
      </c>
      <c r="BA158">
        <f t="shared" si="7"/>
        <v>22</v>
      </c>
      <c r="BB158">
        <f t="shared" si="8"/>
        <v>2024</v>
      </c>
      <c r="BD158" s="19">
        <v>45495</v>
      </c>
    </row>
    <row r="159" spans="1:56" x14ac:dyDescent="0.25">
      <c r="A159" s="25">
        <v>10424</v>
      </c>
      <c r="B159" t="s">
        <v>443</v>
      </c>
      <c r="C159" t="s">
        <v>443</v>
      </c>
      <c r="D159" s="27" t="s">
        <v>485</v>
      </c>
      <c r="E159" s="27">
        <v>1</v>
      </c>
      <c r="F159" s="56"/>
      <c r="G159">
        <v>5210</v>
      </c>
      <c r="H159" t="s">
        <v>19</v>
      </c>
      <c r="I159" t="s">
        <v>8</v>
      </c>
      <c r="J159">
        <v>-0.49590000000000001</v>
      </c>
      <c r="K159">
        <v>2.0409999999999999</v>
      </c>
      <c r="L159">
        <v>7.0000000000000001E-3</v>
      </c>
      <c r="N159">
        <v>7.5530942574200344E-2</v>
      </c>
      <c r="O159">
        <v>3.5533333333333332</v>
      </c>
      <c r="P159">
        <v>3.84</v>
      </c>
      <c r="Q159">
        <v>3.6585033981074062</v>
      </c>
      <c r="R159">
        <v>1.5611564986737401</v>
      </c>
      <c r="S159">
        <v>478.19799999999998</v>
      </c>
      <c r="T159">
        <v>411.846</v>
      </c>
      <c r="U159">
        <v>531.19500000000005</v>
      </c>
      <c r="V159">
        <v>577.43600000000004</v>
      </c>
      <c r="W159">
        <v>487.52499999999998</v>
      </c>
      <c r="X159">
        <v>387.245</v>
      </c>
      <c r="Y159">
        <v>441.66899999999998</v>
      </c>
      <c r="Z159">
        <v>653.63699999999994</v>
      </c>
      <c r="AA159">
        <v>0.53</v>
      </c>
      <c r="AB159">
        <v>742.3</v>
      </c>
      <c r="AC159">
        <v>343.2</v>
      </c>
      <c r="AD159">
        <v>327.3</v>
      </c>
      <c r="AE159">
        <v>213</v>
      </c>
      <c r="AF159">
        <v>0.15</v>
      </c>
      <c r="AG159">
        <v>325.60000000000002</v>
      </c>
      <c r="AH159">
        <v>0.53300000000000003</v>
      </c>
      <c r="AI159">
        <v>0.751</v>
      </c>
      <c r="AJ159">
        <v>177.3</v>
      </c>
      <c r="AK159">
        <v>13.98</v>
      </c>
      <c r="AL159">
        <v>181</v>
      </c>
      <c r="AM159">
        <v>40.772370000000002</v>
      </c>
      <c r="AN159">
        <v>-85.644970000000001</v>
      </c>
      <c r="AO159">
        <v>231.1</v>
      </c>
      <c r="AP159">
        <v>232.3</v>
      </c>
      <c r="AQ159">
        <v>8.8000000000000007</v>
      </c>
      <c r="AR159">
        <v>-128</v>
      </c>
      <c r="AS159">
        <v>11.9</v>
      </c>
      <c r="AT159">
        <v>0</v>
      </c>
      <c r="AU159">
        <v>27.541</v>
      </c>
      <c r="AV159">
        <v>4.41</v>
      </c>
      <c r="AW159">
        <v>0</v>
      </c>
      <c r="AX159">
        <v>-85.645051519999996</v>
      </c>
      <c r="AY159">
        <v>40.772296269999998</v>
      </c>
      <c r="AZ159">
        <f t="shared" si="6"/>
        <v>7</v>
      </c>
      <c r="BA159">
        <f t="shared" si="7"/>
        <v>23</v>
      </c>
      <c r="BB159">
        <f t="shared" si="8"/>
        <v>2024</v>
      </c>
      <c r="BD159" s="19">
        <v>45496</v>
      </c>
    </row>
    <row r="160" spans="1:56" x14ac:dyDescent="0.25">
      <c r="A160" s="25">
        <v>10425</v>
      </c>
      <c r="B160" t="s">
        <v>444</v>
      </c>
      <c r="C160" t="s">
        <v>444</v>
      </c>
      <c r="D160" s="27" t="s">
        <v>486</v>
      </c>
      <c r="E160" s="27">
        <v>2</v>
      </c>
      <c r="F160" s="56"/>
      <c r="G160">
        <v>5430</v>
      </c>
      <c r="H160" t="s">
        <v>19</v>
      </c>
      <c r="I160" t="s">
        <v>8</v>
      </c>
      <c r="J160">
        <v>-0.49669999999999997</v>
      </c>
      <c r="K160">
        <v>2.0510000000000002</v>
      </c>
      <c r="L160">
        <v>3.0000000000000001E-3</v>
      </c>
      <c r="N160">
        <v>7.3831099770517356E-2</v>
      </c>
      <c r="O160">
        <v>12.003333333333332</v>
      </c>
      <c r="P160">
        <v>16.830000000000002</v>
      </c>
      <c r="Q160">
        <v>3.641523430241822</v>
      </c>
      <c r="R160">
        <v>1.532998979800041</v>
      </c>
      <c r="S160">
        <v>500.66800000000001</v>
      </c>
      <c r="T160">
        <v>427.32900000000001</v>
      </c>
      <c r="U160">
        <v>547.09400000000005</v>
      </c>
      <c r="V160">
        <v>607.30600000000004</v>
      </c>
      <c r="W160">
        <v>512.67100000000005</v>
      </c>
      <c r="X160">
        <v>406.351</v>
      </c>
      <c r="Y160">
        <v>492.74400000000003</v>
      </c>
      <c r="Z160">
        <v>697.80100000000004</v>
      </c>
      <c r="AA160">
        <v>0.62</v>
      </c>
      <c r="AB160">
        <v>742.2</v>
      </c>
      <c r="AC160">
        <v>341.2</v>
      </c>
      <c r="AD160">
        <v>327</v>
      </c>
      <c r="AE160">
        <v>213</v>
      </c>
      <c r="AF160">
        <v>0.15</v>
      </c>
      <c r="AG160">
        <v>325.39999999999998</v>
      </c>
      <c r="AH160">
        <v>0.64900000000000002</v>
      </c>
      <c r="AI160">
        <v>0.879</v>
      </c>
      <c r="AJ160">
        <v>167.7</v>
      </c>
      <c r="AK160">
        <v>13.28</v>
      </c>
      <c r="AL160">
        <v>171.2</v>
      </c>
      <c r="AM160">
        <v>40.770829999999997</v>
      </c>
      <c r="AN160">
        <v>-85.647220000000004</v>
      </c>
      <c r="AO160">
        <v>234.3</v>
      </c>
      <c r="AP160">
        <v>228.7</v>
      </c>
      <c r="AQ160">
        <v>8.7799999999999994</v>
      </c>
      <c r="AR160">
        <v>-126.3</v>
      </c>
      <c r="AS160">
        <v>11.9</v>
      </c>
      <c r="AT160">
        <v>0</v>
      </c>
      <c r="AU160">
        <v>27.285</v>
      </c>
      <c r="AV160">
        <v>5.5</v>
      </c>
      <c r="AW160">
        <v>0</v>
      </c>
      <c r="AX160">
        <v>-85.647150420000003</v>
      </c>
      <c r="AY160">
        <v>40.770774430000003</v>
      </c>
      <c r="AZ160">
        <f t="shared" si="6"/>
        <v>7</v>
      </c>
      <c r="BA160">
        <f t="shared" si="7"/>
        <v>23</v>
      </c>
      <c r="BB160">
        <f t="shared" si="8"/>
        <v>2024</v>
      </c>
      <c r="BD160" s="19">
        <v>45496</v>
      </c>
    </row>
    <row r="161" spans="1:56" x14ac:dyDescent="0.25">
      <c r="A161" s="25">
        <v>10426</v>
      </c>
      <c r="B161" t="s">
        <v>445</v>
      </c>
      <c r="C161" t="s">
        <v>445</v>
      </c>
      <c r="D161" s="27" t="s">
        <v>487</v>
      </c>
      <c r="E161" s="27">
        <v>3</v>
      </c>
      <c r="F161" s="56"/>
      <c r="G161">
        <v>4180</v>
      </c>
      <c r="H161" t="s">
        <v>19</v>
      </c>
      <c r="I161" t="s">
        <v>8</v>
      </c>
      <c r="J161">
        <v>-0.50760000000000005</v>
      </c>
      <c r="K161">
        <v>2.177</v>
      </c>
      <c r="L161">
        <v>5.0000000000000001E-3</v>
      </c>
      <c r="N161">
        <v>6.1524858800590734E-2</v>
      </c>
      <c r="O161">
        <v>10.193333333333333</v>
      </c>
      <c r="P161">
        <v>16.779999999999998</v>
      </c>
      <c r="Q161">
        <v>3.537391178331454</v>
      </c>
      <c r="R161">
        <v>1.1169614364415426</v>
      </c>
      <c r="S161">
        <v>457.67399999999998</v>
      </c>
      <c r="T161">
        <v>396.03300000000002</v>
      </c>
      <c r="U161">
        <v>500.64</v>
      </c>
      <c r="V161">
        <v>536.31600000000003</v>
      </c>
      <c r="W161">
        <v>459.26100000000002</v>
      </c>
      <c r="X161">
        <v>365.721</v>
      </c>
      <c r="Y161">
        <v>430.31299999999999</v>
      </c>
      <c r="Z161">
        <v>603.69500000000005</v>
      </c>
      <c r="AA161">
        <v>0.48599999999999999</v>
      </c>
      <c r="AB161">
        <v>742.2</v>
      </c>
      <c r="AC161">
        <v>372.1</v>
      </c>
      <c r="AD161">
        <v>355.8</v>
      </c>
      <c r="AE161">
        <v>231</v>
      </c>
      <c r="AF161">
        <v>0.17</v>
      </c>
      <c r="AG161">
        <v>354.1</v>
      </c>
      <c r="AH161">
        <v>0.498</v>
      </c>
      <c r="AI161">
        <v>0.68799999999999994</v>
      </c>
      <c r="AJ161">
        <v>154</v>
      </c>
      <c r="AK161">
        <v>12.18</v>
      </c>
      <c r="AL161">
        <v>157.30000000000001</v>
      </c>
      <c r="AM161">
        <v>40.781179999999999</v>
      </c>
      <c r="AN161">
        <v>-85.646339999999995</v>
      </c>
      <c r="AO161">
        <v>231.3</v>
      </c>
      <c r="AP161">
        <v>120.3</v>
      </c>
      <c r="AQ161">
        <v>8.75</v>
      </c>
      <c r="AR161">
        <v>-124.8</v>
      </c>
      <c r="AS161">
        <v>11.9</v>
      </c>
      <c r="AT161">
        <v>0</v>
      </c>
      <c r="AU161">
        <v>27.391999999999999</v>
      </c>
      <c r="AV161">
        <v>4.62</v>
      </c>
      <c r="AW161">
        <v>0</v>
      </c>
      <c r="AX161">
        <v>-85.646588960000003</v>
      </c>
      <c r="AY161">
        <v>40.781075420000001</v>
      </c>
      <c r="AZ161">
        <f t="shared" si="6"/>
        <v>7</v>
      </c>
      <c r="BA161">
        <f t="shared" si="7"/>
        <v>23</v>
      </c>
      <c r="BB161">
        <f t="shared" si="8"/>
        <v>2024</v>
      </c>
      <c r="BD161" s="19">
        <v>45496</v>
      </c>
    </row>
    <row r="162" spans="1:56" x14ac:dyDescent="0.25">
      <c r="A162" s="25">
        <v>10427</v>
      </c>
      <c r="B162" t="s">
        <v>446</v>
      </c>
      <c r="C162" t="s">
        <v>446</v>
      </c>
      <c r="D162" s="27" t="s">
        <v>488</v>
      </c>
      <c r="E162" s="27">
        <v>4</v>
      </c>
      <c r="F162" s="56"/>
      <c r="G162">
        <v>4980</v>
      </c>
      <c r="H162" t="s">
        <v>19</v>
      </c>
      <c r="I162" t="s">
        <v>8</v>
      </c>
      <c r="J162">
        <v>-0.50160000000000005</v>
      </c>
      <c r="K162">
        <v>2.387</v>
      </c>
      <c r="L162">
        <v>1E-3</v>
      </c>
      <c r="N162">
        <v>7.5612177141409762E-2</v>
      </c>
      <c r="O162">
        <v>3.4533333333333331</v>
      </c>
      <c r="P162">
        <v>3.8000000000000003</v>
      </c>
      <c r="Q162">
        <v>3.5737768237577061</v>
      </c>
      <c r="R162">
        <v>1.6560350948785962</v>
      </c>
      <c r="S162">
        <v>462.09199999999998</v>
      </c>
      <c r="T162">
        <v>398.68400000000003</v>
      </c>
      <c r="U162">
        <v>499.46600000000001</v>
      </c>
      <c r="V162">
        <v>534.45399999999995</v>
      </c>
      <c r="W162">
        <v>451.43099999999998</v>
      </c>
      <c r="X162">
        <v>361.166</v>
      </c>
      <c r="Y162">
        <v>433.31400000000002</v>
      </c>
      <c r="Z162">
        <v>673.4</v>
      </c>
      <c r="AA162">
        <v>0.52100000000000002</v>
      </c>
      <c r="AB162">
        <v>742.4</v>
      </c>
      <c r="AC162">
        <v>387.1</v>
      </c>
      <c r="AD162">
        <v>369.3</v>
      </c>
      <c r="AE162">
        <v>240</v>
      </c>
      <c r="AF162">
        <v>0.17</v>
      </c>
      <c r="AG162">
        <v>367.4</v>
      </c>
      <c r="AH162">
        <v>0.56699999999999995</v>
      </c>
      <c r="AI162">
        <v>0.73799999999999999</v>
      </c>
      <c r="AJ162">
        <v>149.80000000000001</v>
      </c>
      <c r="AK162">
        <v>11.82</v>
      </c>
      <c r="AL162">
        <v>153</v>
      </c>
      <c r="AM162">
        <v>40.784019999999998</v>
      </c>
      <c r="AN162">
        <v>-85.638549999999995</v>
      </c>
      <c r="AO162">
        <v>233.9</v>
      </c>
      <c r="AP162">
        <v>193.2</v>
      </c>
      <c r="AQ162">
        <v>8.7200000000000006</v>
      </c>
      <c r="AR162">
        <v>-123.3</v>
      </c>
      <c r="AS162">
        <v>12</v>
      </c>
      <c r="AT162">
        <v>0</v>
      </c>
      <c r="AU162">
        <v>27.527999999999999</v>
      </c>
      <c r="AV162">
        <v>5.0199999999999996</v>
      </c>
      <c r="AW162">
        <v>0</v>
      </c>
      <c r="AX162">
        <v>-85.638733939999995</v>
      </c>
      <c r="AY162">
        <v>40.783930470000001</v>
      </c>
      <c r="AZ162">
        <f t="shared" si="6"/>
        <v>7</v>
      </c>
      <c r="BA162">
        <f t="shared" si="7"/>
        <v>23</v>
      </c>
      <c r="BB162">
        <f t="shared" si="8"/>
        <v>2024</v>
      </c>
      <c r="BD162" s="19">
        <v>45496</v>
      </c>
    </row>
    <row r="163" spans="1:56" x14ac:dyDescent="0.25">
      <c r="A163" s="25">
        <v>10428</v>
      </c>
      <c r="B163" t="s">
        <v>447</v>
      </c>
      <c r="C163" t="s">
        <v>447</v>
      </c>
      <c r="D163" s="27" t="s">
        <v>489</v>
      </c>
      <c r="E163" s="27">
        <v>5</v>
      </c>
      <c r="F163" s="56"/>
      <c r="G163">
        <v>6340</v>
      </c>
      <c r="H163" t="s">
        <v>19</v>
      </c>
      <c r="I163" t="s">
        <v>8</v>
      </c>
      <c r="J163">
        <v>-0.49759999999999999</v>
      </c>
      <c r="K163">
        <v>2.1389999999999998</v>
      </c>
      <c r="L163">
        <v>1.0999999999999999E-2</v>
      </c>
      <c r="N163">
        <v>0.125599450854286</v>
      </c>
      <c r="O163">
        <v>12.316666666666665</v>
      </c>
      <c r="P163">
        <v>15.606666666666667</v>
      </c>
      <c r="Q163">
        <v>3.3490521470060473</v>
      </c>
      <c r="R163">
        <v>1.5756433380942667</v>
      </c>
      <c r="S163">
        <v>479.63200000000001</v>
      </c>
      <c r="T163">
        <v>415.11700000000002</v>
      </c>
      <c r="U163">
        <v>502.64699999999999</v>
      </c>
      <c r="V163">
        <v>535.54999999999995</v>
      </c>
      <c r="W163">
        <v>469.51</v>
      </c>
      <c r="X163">
        <v>370.50299999999999</v>
      </c>
      <c r="Y163">
        <v>475.43599999999998</v>
      </c>
      <c r="Z163">
        <v>706.78499999999997</v>
      </c>
      <c r="AA163">
        <v>0.436</v>
      </c>
      <c r="AB163">
        <v>742.1</v>
      </c>
      <c r="AC163">
        <v>395.2</v>
      </c>
      <c r="AD163">
        <v>373.6</v>
      </c>
      <c r="AE163">
        <v>243</v>
      </c>
      <c r="AF163">
        <v>0.18</v>
      </c>
      <c r="AG163">
        <v>371.3</v>
      </c>
      <c r="AH163">
        <v>0.44700000000000001</v>
      </c>
      <c r="AI163">
        <v>0.61799999999999999</v>
      </c>
      <c r="AJ163">
        <v>156.6</v>
      </c>
      <c r="AK163">
        <v>12.24</v>
      </c>
      <c r="AL163">
        <v>159.9</v>
      </c>
      <c r="AM163">
        <v>40.77458</v>
      </c>
      <c r="AN163">
        <v>-85.623919999999998</v>
      </c>
      <c r="AO163">
        <v>235.9</v>
      </c>
      <c r="AP163">
        <v>128.5</v>
      </c>
      <c r="AQ163">
        <v>8.74</v>
      </c>
      <c r="AR163">
        <v>-124.4</v>
      </c>
      <c r="AS163">
        <v>11.9</v>
      </c>
      <c r="AT163">
        <v>0</v>
      </c>
      <c r="AU163">
        <v>28.027999999999999</v>
      </c>
      <c r="AV163">
        <v>6.01</v>
      </c>
      <c r="AW163">
        <v>0</v>
      </c>
      <c r="AX163">
        <v>-85.624036320000002</v>
      </c>
      <c r="AY163">
        <v>40.774560219999998</v>
      </c>
      <c r="AZ163">
        <f t="shared" si="6"/>
        <v>7</v>
      </c>
      <c r="BA163">
        <f t="shared" si="7"/>
        <v>23</v>
      </c>
      <c r="BB163">
        <f t="shared" si="8"/>
        <v>2024</v>
      </c>
      <c r="BD163" s="19">
        <v>45496</v>
      </c>
    </row>
    <row r="164" spans="1:56" x14ac:dyDescent="0.25">
      <c r="A164" s="25">
        <v>10429</v>
      </c>
      <c r="B164" t="s">
        <v>448</v>
      </c>
      <c r="C164" t="s">
        <v>448</v>
      </c>
      <c r="D164" s="27" t="s">
        <v>490</v>
      </c>
      <c r="E164" s="27">
        <v>6</v>
      </c>
      <c r="F164" s="56"/>
      <c r="G164">
        <v>7900</v>
      </c>
      <c r="H164" t="s">
        <v>19</v>
      </c>
      <c r="I164" t="s">
        <v>8</v>
      </c>
      <c r="J164">
        <v>-0.49370000000000003</v>
      </c>
      <c r="K164">
        <v>2.1139999999999999</v>
      </c>
      <c r="L164">
        <v>0</v>
      </c>
      <c r="N164">
        <v>0.13922878276774439</v>
      </c>
      <c r="O164">
        <v>8.7533333333333321</v>
      </c>
      <c r="P164">
        <v>9.5633333333333326</v>
      </c>
      <c r="Q164">
        <v>3.1662575949836902</v>
      </c>
      <c r="R164">
        <v>1.4044537849418486</v>
      </c>
      <c r="S164">
        <v>433.875</v>
      </c>
      <c r="T164">
        <v>388.18700000000001</v>
      </c>
      <c r="U164">
        <v>485.80399999999997</v>
      </c>
      <c r="V164">
        <v>522.67200000000003</v>
      </c>
      <c r="W164">
        <v>447.54300000000001</v>
      </c>
      <c r="X164">
        <v>354.89600000000002</v>
      </c>
      <c r="Y164">
        <v>451.779</v>
      </c>
      <c r="Z164">
        <v>627.36500000000001</v>
      </c>
      <c r="AA164">
        <v>0.49299999999999999</v>
      </c>
      <c r="AB164">
        <v>742.1</v>
      </c>
      <c r="AC164">
        <v>396</v>
      </c>
      <c r="AD164">
        <v>380.8</v>
      </c>
      <c r="AE164">
        <v>248</v>
      </c>
      <c r="AF164">
        <v>0.18</v>
      </c>
      <c r="AG164">
        <v>379.2</v>
      </c>
      <c r="AH164">
        <v>0.48499999999999999</v>
      </c>
      <c r="AI164">
        <v>0.69899999999999995</v>
      </c>
      <c r="AJ164">
        <v>140.1</v>
      </c>
      <c r="AK164">
        <v>11.14</v>
      </c>
      <c r="AL164">
        <v>143.1</v>
      </c>
      <c r="AM164">
        <v>40.775100000000002</v>
      </c>
      <c r="AN164">
        <v>-85.605829999999997</v>
      </c>
      <c r="AO164">
        <v>233</v>
      </c>
      <c r="AP164">
        <v>148.6</v>
      </c>
      <c r="AQ164">
        <v>8.65</v>
      </c>
      <c r="AR164">
        <v>-118.4</v>
      </c>
      <c r="AS164">
        <v>11.9</v>
      </c>
      <c r="AT164">
        <v>0</v>
      </c>
      <c r="AU164">
        <v>27.082000000000001</v>
      </c>
      <c r="AV164">
        <v>4.95</v>
      </c>
      <c r="AW164">
        <v>0</v>
      </c>
      <c r="AX164">
        <v>-85.606134130000001</v>
      </c>
      <c r="AY164">
        <v>40.77494488</v>
      </c>
      <c r="AZ164">
        <f t="shared" si="6"/>
        <v>7</v>
      </c>
      <c r="BA164">
        <f t="shared" si="7"/>
        <v>23</v>
      </c>
      <c r="BB164">
        <f t="shared" si="8"/>
        <v>2024</v>
      </c>
      <c r="BD164" s="19">
        <v>45496</v>
      </c>
    </row>
    <row r="165" spans="1:56" x14ac:dyDescent="0.25">
      <c r="A165" s="25">
        <v>10430</v>
      </c>
      <c r="B165" t="s">
        <v>449</v>
      </c>
      <c r="C165" t="s">
        <v>449</v>
      </c>
      <c r="D165" s="27" t="s">
        <v>491</v>
      </c>
      <c r="E165" s="27">
        <v>7</v>
      </c>
      <c r="F165" s="56"/>
      <c r="G165">
        <v>10610</v>
      </c>
      <c r="H165" t="s">
        <v>19</v>
      </c>
      <c r="I165" t="s">
        <v>8</v>
      </c>
      <c r="J165">
        <v>-0.50560000000000005</v>
      </c>
      <c r="K165">
        <v>1.9330000000000001</v>
      </c>
      <c r="L165">
        <v>1E-3</v>
      </c>
      <c r="N165">
        <v>0.11380197383943823</v>
      </c>
      <c r="O165">
        <v>26.393333333333334</v>
      </c>
      <c r="P165">
        <v>35.813333333333333</v>
      </c>
      <c r="Q165">
        <v>3.593529031274814</v>
      </c>
      <c r="R165">
        <v>1.5423848194246075</v>
      </c>
      <c r="S165">
        <v>410.09100000000001</v>
      </c>
      <c r="T165">
        <v>363.63400000000001</v>
      </c>
      <c r="U165">
        <v>460.42700000000002</v>
      </c>
      <c r="V165">
        <v>481.26100000000002</v>
      </c>
      <c r="W165">
        <v>432.04</v>
      </c>
      <c r="X165">
        <v>325.899</v>
      </c>
      <c r="Y165">
        <v>437.762</v>
      </c>
      <c r="Z165">
        <v>619.65599999999995</v>
      </c>
      <c r="AA165">
        <v>0.39200000000000002</v>
      </c>
      <c r="AB165">
        <v>742</v>
      </c>
      <c r="AC165">
        <v>381.7</v>
      </c>
      <c r="AD165">
        <v>355.5</v>
      </c>
      <c r="AE165">
        <v>231</v>
      </c>
      <c r="AF165">
        <v>0.17</v>
      </c>
      <c r="AG165">
        <v>352.6</v>
      </c>
      <c r="AH165">
        <v>0.38500000000000001</v>
      </c>
      <c r="AI165">
        <v>0.55600000000000005</v>
      </c>
      <c r="AJ165">
        <v>206.1</v>
      </c>
      <c r="AK165">
        <v>15.88</v>
      </c>
      <c r="AL165">
        <v>210.5</v>
      </c>
      <c r="AM165">
        <v>40.776200000000003</v>
      </c>
      <c r="AN165">
        <v>-85.583370000000002</v>
      </c>
      <c r="AO165">
        <v>234.6</v>
      </c>
      <c r="AP165">
        <v>149.6</v>
      </c>
      <c r="AQ165">
        <v>8.89</v>
      </c>
      <c r="AR165">
        <v>-134</v>
      </c>
      <c r="AS165">
        <v>11.9</v>
      </c>
      <c r="AT165">
        <v>0</v>
      </c>
      <c r="AU165">
        <v>28.867999999999999</v>
      </c>
      <c r="AV165">
        <v>5.27</v>
      </c>
      <c r="AW165">
        <v>0</v>
      </c>
      <c r="AX165">
        <v>-85.580525960000003</v>
      </c>
      <c r="AY165">
        <v>40.775568530000001</v>
      </c>
      <c r="AZ165">
        <f t="shared" si="6"/>
        <v>7</v>
      </c>
      <c r="BA165">
        <f t="shared" si="7"/>
        <v>23</v>
      </c>
      <c r="BB165">
        <f t="shared" si="8"/>
        <v>2024</v>
      </c>
      <c r="BD165" s="19">
        <v>45496</v>
      </c>
    </row>
    <row r="166" spans="1:56" x14ac:dyDescent="0.25">
      <c r="A166" s="25">
        <v>10431</v>
      </c>
      <c r="B166" t="s">
        <v>450</v>
      </c>
      <c r="C166" t="s">
        <v>450</v>
      </c>
      <c r="D166" s="27" t="s">
        <v>492</v>
      </c>
      <c r="E166" s="27">
        <v>8</v>
      </c>
      <c r="F166" s="56"/>
      <c r="G166">
        <v>9370</v>
      </c>
      <c r="H166" t="s">
        <v>19</v>
      </c>
      <c r="I166" t="s">
        <v>8</v>
      </c>
      <c r="J166">
        <v>-0.49690000000000001</v>
      </c>
      <c r="K166">
        <v>2.2250000000000001</v>
      </c>
      <c r="L166">
        <v>1.4999999999999999E-2</v>
      </c>
      <c r="N166">
        <v>9.2130860894763925E-2</v>
      </c>
      <c r="O166">
        <v>13.936666666666666</v>
      </c>
      <c r="P166">
        <v>14.756666666666666</v>
      </c>
      <c r="Q166">
        <v>3.7056314721833132</v>
      </c>
      <c r="R166">
        <v>1.6762350540705979</v>
      </c>
      <c r="S166">
        <v>460.38400000000001</v>
      </c>
      <c r="T166">
        <v>391.62700000000001</v>
      </c>
      <c r="U166">
        <v>497.88900000000001</v>
      </c>
      <c r="V166">
        <v>525.66099999999994</v>
      </c>
      <c r="W166">
        <v>453.11399999999998</v>
      </c>
      <c r="X166">
        <v>350.221</v>
      </c>
      <c r="Y166">
        <v>469.411</v>
      </c>
      <c r="Z166">
        <v>692.32</v>
      </c>
      <c r="AA166">
        <v>0.438</v>
      </c>
      <c r="AB166">
        <v>742</v>
      </c>
      <c r="AC166">
        <v>386.5</v>
      </c>
      <c r="AD166">
        <v>366.1</v>
      </c>
      <c r="AE166">
        <v>238</v>
      </c>
      <c r="AF166">
        <v>0.17</v>
      </c>
      <c r="AG166">
        <v>363.9</v>
      </c>
      <c r="AH166">
        <v>0.45200000000000001</v>
      </c>
      <c r="AI166">
        <v>0.62</v>
      </c>
      <c r="AJ166">
        <v>197.4</v>
      </c>
      <c r="AK166">
        <v>15.45</v>
      </c>
      <c r="AL166">
        <v>201.5</v>
      </c>
      <c r="AM166">
        <v>40.766820000000003</v>
      </c>
      <c r="AN166">
        <v>-85.596760000000003</v>
      </c>
      <c r="AO166">
        <v>235.7</v>
      </c>
      <c r="AP166">
        <v>141.5</v>
      </c>
      <c r="AQ166">
        <v>8.84</v>
      </c>
      <c r="AR166">
        <v>-130.5</v>
      </c>
      <c r="AS166">
        <v>11.9</v>
      </c>
      <c r="AT166">
        <v>0</v>
      </c>
      <c r="AU166">
        <v>27.928000000000001</v>
      </c>
      <c r="AV166">
        <v>5.49</v>
      </c>
      <c r="AW166">
        <v>0</v>
      </c>
      <c r="AX166">
        <v>-85.596868459999996</v>
      </c>
      <c r="AY166">
        <v>40.766858499999998</v>
      </c>
      <c r="AZ166">
        <f t="shared" si="6"/>
        <v>7</v>
      </c>
      <c r="BA166">
        <f t="shared" si="7"/>
        <v>23</v>
      </c>
      <c r="BB166">
        <f t="shared" si="8"/>
        <v>2024</v>
      </c>
      <c r="BD166" s="19">
        <v>45496</v>
      </c>
    </row>
    <row r="167" spans="1:56" x14ac:dyDescent="0.25">
      <c r="A167" s="25">
        <v>10432</v>
      </c>
      <c r="B167" t="s">
        <v>451</v>
      </c>
      <c r="C167" t="s">
        <v>451</v>
      </c>
      <c r="D167" s="27" t="s">
        <v>493</v>
      </c>
      <c r="E167" s="27">
        <v>9</v>
      </c>
      <c r="F167" s="56"/>
      <c r="G167">
        <v>10331</v>
      </c>
      <c r="H167" t="s">
        <v>19</v>
      </c>
      <c r="I167" t="s">
        <v>8</v>
      </c>
      <c r="J167">
        <v>-0.50109999999999999</v>
      </c>
      <c r="K167">
        <v>2.2000000000000002</v>
      </c>
      <c r="L167">
        <v>1E-3</v>
      </c>
      <c r="N167">
        <v>0.1276921106239067</v>
      </c>
      <c r="O167">
        <v>29.343333333333334</v>
      </c>
      <c r="P167">
        <v>43.123333333333335</v>
      </c>
      <c r="Q167">
        <v>3.7323142788292309</v>
      </c>
      <c r="R167">
        <v>1.6314142691967628</v>
      </c>
      <c r="S167">
        <v>435.54199999999997</v>
      </c>
      <c r="T167">
        <v>372.15899999999999</v>
      </c>
      <c r="U167">
        <v>477.46</v>
      </c>
      <c r="V167">
        <v>504.00099999999998</v>
      </c>
      <c r="W167">
        <v>446.94099999999997</v>
      </c>
      <c r="X167">
        <v>343.339</v>
      </c>
      <c r="Y167">
        <v>502.839</v>
      </c>
      <c r="Z167">
        <v>790.29600000000005</v>
      </c>
      <c r="AA167">
        <v>0.29499999999999998</v>
      </c>
      <c r="AB167">
        <v>741.8</v>
      </c>
      <c r="AC167">
        <v>388.9</v>
      </c>
      <c r="AD167">
        <v>368.3</v>
      </c>
      <c r="AE167">
        <v>239</v>
      </c>
      <c r="AF167">
        <v>0.17</v>
      </c>
      <c r="AG167">
        <v>366</v>
      </c>
      <c r="AH167">
        <v>0.30199999999999999</v>
      </c>
      <c r="AI167">
        <v>0.41799999999999998</v>
      </c>
      <c r="AJ167">
        <v>214.6</v>
      </c>
      <c r="AK167">
        <v>16.8</v>
      </c>
      <c r="AL167">
        <v>219.1</v>
      </c>
      <c r="AM167">
        <v>40.757249999999999</v>
      </c>
      <c r="AN167">
        <v>-85.594830000000002</v>
      </c>
      <c r="AO167">
        <v>226.9</v>
      </c>
      <c r="AP167">
        <v>167.4</v>
      </c>
      <c r="AQ167">
        <v>8.8800000000000008</v>
      </c>
      <c r="AR167">
        <v>-133.1</v>
      </c>
      <c r="AS167">
        <v>11.9</v>
      </c>
      <c r="AT167">
        <v>0</v>
      </c>
      <c r="AU167">
        <v>27.931000000000001</v>
      </c>
      <c r="AV167">
        <v>8.91</v>
      </c>
      <c r="AW167">
        <v>0</v>
      </c>
      <c r="AX167">
        <v>-85.594853409999999</v>
      </c>
      <c r="AY167">
        <v>40.757165809999996</v>
      </c>
      <c r="AZ167">
        <f t="shared" si="6"/>
        <v>7</v>
      </c>
      <c r="BA167">
        <f t="shared" si="7"/>
        <v>23</v>
      </c>
      <c r="BB167">
        <f t="shared" si="8"/>
        <v>2024</v>
      </c>
      <c r="BD167" s="19">
        <v>45496</v>
      </c>
    </row>
    <row r="168" spans="1:56" x14ac:dyDescent="0.25">
      <c r="A168" s="25">
        <v>10433</v>
      </c>
      <c r="B168" t="s">
        <v>452</v>
      </c>
      <c r="C168" t="s">
        <v>452</v>
      </c>
      <c r="D168" s="27" t="s">
        <v>494</v>
      </c>
      <c r="E168" s="27">
        <v>10</v>
      </c>
      <c r="F168" s="56"/>
      <c r="G168">
        <v>11270</v>
      </c>
      <c r="H168" t="s">
        <v>19</v>
      </c>
      <c r="I168" t="s">
        <v>8</v>
      </c>
      <c r="J168">
        <v>-0.50349999999999995</v>
      </c>
      <c r="K168">
        <v>2.218</v>
      </c>
      <c r="L168">
        <v>-1E-3</v>
      </c>
      <c r="N168">
        <v>5.5681940813887776E-2</v>
      </c>
      <c r="O168">
        <v>11.546666666666667</v>
      </c>
      <c r="P168">
        <v>13.623333333333333</v>
      </c>
      <c r="Q168">
        <v>3.642389755132923</v>
      </c>
      <c r="R168">
        <v>1.6264492960620283</v>
      </c>
      <c r="S168">
        <v>420.18799999999999</v>
      </c>
      <c r="T168">
        <v>356.04199999999997</v>
      </c>
      <c r="U168">
        <v>458.02800000000002</v>
      </c>
      <c r="V168">
        <v>496.274</v>
      </c>
      <c r="W168">
        <v>421.99700000000001</v>
      </c>
      <c r="X168">
        <v>324.774</v>
      </c>
      <c r="Y168">
        <v>448.37900000000002</v>
      </c>
      <c r="Z168">
        <v>696.10900000000004</v>
      </c>
      <c r="AA168">
        <v>0.61199999999999999</v>
      </c>
      <c r="AB168">
        <v>741.8</v>
      </c>
      <c r="AC168">
        <v>390.8</v>
      </c>
      <c r="AD168">
        <v>366.5</v>
      </c>
      <c r="AE168">
        <v>238</v>
      </c>
      <c r="AF168">
        <v>0.17</v>
      </c>
      <c r="AG168">
        <v>363.9</v>
      </c>
      <c r="AH168">
        <v>1.0720000000000001</v>
      </c>
      <c r="AI168">
        <v>0.86699999999999999</v>
      </c>
      <c r="AJ168">
        <v>214.8</v>
      </c>
      <c r="AK168">
        <v>16.649999999999999</v>
      </c>
      <c r="AL168">
        <v>219.4</v>
      </c>
      <c r="AM168">
        <v>40.755859999999998</v>
      </c>
      <c r="AN168">
        <v>-85.582409999999996</v>
      </c>
      <c r="AO168">
        <v>232.2</v>
      </c>
      <c r="AP168">
        <v>167.4</v>
      </c>
      <c r="AQ168">
        <v>8.94</v>
      </c>
      <c r="AR168">
        <v>-136.80000000000001</v>
      </c>
      <c r="AS168">
        <v>11.9</v>
      </c>
      <c r="AT168">
        <v>0</v>
      </c>
      <c r="AU168">
        <v>28.465</v>
      </c>
      <c r="AV168">
        <v>6.24</v>
      </c>
      <c r="AW168">
        <v>0</v>
      </c>
      <c r="AX168">
        <v>-85.582874129999993</v>
      </c>
      <c r="AY168">
        <v>40.755891669999997</v>
      </c>
      <c r="AZ168">
        <f t="shared" si="6"/>
        <v>7</v>
      </c>
      <c r="BA168">
        <f t="shared" si="7"/>
        <v>23</v>
      </c>
      <c r="BB168">
        <f t="shared" si="8"/>
        <v>2024</v>
      </c>
      <c r="BD168" s="19">
        <v>45496</v>
      </c>
    </row>
    <row r="169" spans="1:56" x14ac:dyDescent="0.25">
      <c r="A169" s="25">
        <v>10434</v>
      </c>
      <c r="B169" t="s">
        <v>453</v>
      </c>
      <c r="C169" t="s">
        <v>453</v>
      </c>
      <c r="D169" s="27" t="s">
        <v>495</v>
      </c>
      <c r="E169" s="27">
        <v>13</v>
      </c>
      <c r="F169" s="56"/>
      <c r="G169">
        <v>5180</v>
      </c>
      <c r="H169" t="s">
        <v>19</v>
      </c>
      <c r="I169" t="s">
        <v>8</v>
      </c>
      <c r="J169">
        <v>-0.49609999999999999</v>
      </c>
      <c r="K169">
        <v>2.2679999999999998</v>
      </c>
      <c r="L169">
        <v>6.0000000000000001E-3</v>
      </c>
      <c r="N169" s="41">
        <v>0.15</v>
      </c>
      <c r="O169">
        <v>15.276666666666666</v>
      </c>
      <c r="P169">
        <v>19.510000000000002</v>
      </c>
      <c r="Q169">
        <v>3.6236771374851369</v>
      </c>
      <c r="R169">
        <v>1.6407320954907163</v>
      </c>
      <c r="S169">
        <v>444.524</v>
      </c>
      <c r="T169">
        <v>378.428</v>
      </c>
      <c r="U169">
        <v>476.07600000000002</v>
      </c>
      <c r="V169">
        <v>519.22299999999996</v>
      </c>
      <c r="W169">
        <v>437.738</v>
      </c>
      <c r="X169">
        <v>347.78699999999998</v>
      </c>
      <c r="Y169">
        <v>427.101</v>
      </c>
      <c r="Z169">
        <v>631.10599999999999</v>
      </c>
      <c r="AA169">
        <v>0.53100000000000003</v>
      </c>
      <c r="AB169">
        <v>742.2</v>
      </c>
      <c r="AC169">
        <v>388.3</v>
      </c>
      <c r="AD169">
        <v>370.2</v>
      </c>
      <c r="AE169">
        <v>241</v>
      </c>
      <c r="AF169">
        <v>0.18</v>
      </c>
      <c r="AG169">
        <v>368.3</v>
      </c>
      <c r="AH169">
        <v>0.53900000000000003</v>
      </c>
      <c r="AI169">
        <v>0.752</v>
      </c>
      <c r="AJ169">
        <v>144.69999999999999</v>
      </c>
      <c r="AK169">
        <v>11.4</v>
      </c>
      <c r="AL169">
        <v>147.69999999999999</v>
      </c>
      <c r="AM169">
        <v>40.781059999999997</v>
      </c>
      <c r="AN169">
        <v>-85.637450000000001</v>
      </c>
      <c r="AO169">
        <v>236.1</v>
      </c>
      <c r="AP169">
        <v>166.8</v>
      </c>
      <c r="AQ169">
        <v>8.73</v>
      </c>
      <c r="AR169">
        <v>-123.3</v>
      </c>
      <c r="AS169">
        <v>11.9</v>
      </c>
      <c r="AT169">
        <v>0</v>
      </c>
      <c r="AU169">
        <v>27.558</v>
      </c>
      <c r="AV169">
        <v>4.8499999999999996</v>
      </c>
      <c r="AW169">
        <v>0</v>
      </c>
      <c r="AX169">
        <v>-85.637500149999994</v>
      </c>
      <c r="AY169">
        <v>40.781062970000001</v>
      </c>
      <c r="AZ169">
        <f t="shared" si="6"/>
        <v>7</v>
      </c>
      <c r="BA169">
        <f t="shared" si="7"/>
        <v>23</v>
      </c>
      <c r="BB169">
        <f t="shared" si="8"/>
        <v>2024</v>
      </c>
      <c r="BD169" s="19">
        <v>45496</v>
      </c>
    </row>
    <row r="170" spans="1:56" x14ac:dyDescent="0.25">
      <c r="A170" s="25">
        <v>10435</v>
      </c>
      <c r="B170" t="s">
        <v>454</v>
      </c>
      <c r="C170" t="s">
        <v>454</v>
      </c>
      <c r="D170" s="27" t="s">
        <v>496</v>
      </c>
      <c r="E170" s="27">
        <v>14</v>
      </c>
      <c r="F170" s="56"/>
      <c r="G170">
        <v>1040</v>
      </c>
      <c r="H170" t="s">
        <v>19</v>
      </c>
      <c r="I170" t="s">
        <v>8</v>
      </c>
      <c r="J170">
        <v>-0.49930000000000002</v>
      </c>
      <c r="K170">
        <v>2.3820000000000001</v>
      </c>
      <c r="L170">
        <v>0</v>
      </c>
      <c r="N170">
        <v>8.3841822092961163E-2</v>
      </c>
      <c r="O170">
        <v>3.5166666666666671</v>
      </c>
      <c r="P170">
        <v>4.4033333333333333</v>
      </c>
      <c r="Q170">
        <v>3.3937545113868706</v>
      </c>
      <c r="R170">
        <v>1.5545592056042985</v>
      </c>
      <c r="S170">
        <v>447.83199999999999</v>
      </c>
      <c r="T170">
        <v>388.57499999999999</v>
      </c>
      <c r="U170">
        <v>467.63</v>
      </c>
      <c r="V170">
        <v>502.005</v>
      </c>
      <c r="W170">
        <v>444.99799999999999</v>
      </c>
      <c r="X170">
        <v>348.67200000000003</v>
      </c>
      <c r="Y170">
        <v>404.99900000000002</v>
      </c>
      <c r="Z170">
        <v>628.22299999999996</v>
      </c>
      <c r="AA170">
        <v>0.438</v>
      </c>
      <c r="AB170">
        <v>741.7</v>
      </c>
      <c r="AC170">
        <v>396.4</v>
      </c>
      <c r="AD170">
        <v>371.4</v>
      </c>
      <c r="AE170">
        <v>241</v>
      </c>
      <c r="AF170">
        <v>0.18</v>
      </c>
      <c r="AG170">
        <v>368.7</v>
      </c>
      <c r="AH170">
        <v>0.44900000000000001</v>
      </c>
      <c r="AI170">
        <v>0.621</v>
      </c>
      <c r="AJ170">
        <v>139.4</v>
      </c>
      <c r="AK170">
        <v>10.8</v>
      </c>
      <c r="AL170">
        <v>142.30000000000001</v>
      </c>
      <c r="AM170">
        <v>40.801439999999999</v>
      </c>
      <c r="AN170">
        <v>-85.669169999999994</v>
      </c>
      <c r="AO170">
        <v>234.1</v>
      </c>
      <c r="AP170">
        <v>150.80000000000001</v>
      </c>
      <c r="AQ170">
        <v>8.7100000000000009</v>
      </c>
      <c r="AR170">
        <v>-122.8</v>
      </c>
      <c r="AS170">
        <v>11.9</v>
      </c>
      <c r="AT170">
        <v>0</v>
      </c>
      <c r="AU170">
        <v>28.526</v>
      </c>
      <c r="AV170">
        <v>4.07</v>
      </c>
      <c r="AW170">
        <v>0</v>
      </c>
      <c r="AX170">
        <v>-85.667890909999997</v>
      </c>
      <c r="AY170">
        <v>40.8002343</v>
      </c>
      <c r="AZ170">
        <f t="shared" si="6"/>
        <v>7</v>
      </c>
      <c r="BA170">
        <f t="shared" si="7"/>
        <v>23</v>
      </c>
      <c r="BB170">
        <f t="shared" si="8"/>
        <v>2024</v>
      </c>
      <c r="BD170" s="19">
        <v>45496</v>
      </c>
    </row>
    <row r="171" spans="1:56" x14ac:dyDescent="0.25">
      <c r="A171" s="25">
        <v>10436</v>
      </c>
      <c r="B171" t="s">
        <v>637</v>
      </c>
      <c r="C171" t="s">
        <v>446</v>
      </c>
      <c r="D171" s="27" t="s">
        <v>488</v>
      </c>
      <c r="E171" s="27">
        <v>4</v>
      </c>
      <c r="F171" s="56"/>
      <c r="G171" s="56"/>
      <c r="H171" t="s">
        <v>19</v>
      </c>
      <c r="I171" t="s">
        <v>8</v>
      </c>
      <c r="J171">
        <v>-0.50239999999999996</v>
      </c>
      <c r="K171">
        <v>2.2280000000000002</v>
      </c>
      <c r="L171">
        <v>8.0000000000000002E-3</v>
      </c>
      <c r="N171">
        <v>7.7336734978462288E-2</v>
      </c>
      <c r="O171">
        <v>13.106666666666667</v>
      </c>
      <c r="P171">
        <v>15.920000000000002</v>
      </c>
      <c r="Q171">
        <v>3.5353119985928112</v>
      </c>
      <c r="R171">
        <v>1.1436226620417604</v>
      </c>
      <c r="BD171" s="19"/>
    </row>
    <row r="172" spans="1:56" x14ac:dyDescent="0.25">
      <c r="A172" s="25">
        <v>10437</v>
      </c>
      <c r="B172" t="s">
        <v>600</v>
      </c>
      <c r="C172" t="s">
        <v>600</v>
      </c>
      <c r="D172" s="27" t="s">
        <v>497</v>
      </c>
      <c r="E172" s="27">
        <v>1</v>
      </c>
      <c r="F172" s="56"/>
      <c r="G172">
        <v>6865</v>
      </c>
      <c r="H172" t="s">
        <v>18</v>
      </c>
      <c r="I172" t="s">
        <v>8</v>
      </c>
      <c r="J172">
        <v>2.47E-2</v>
      </c>
      <c r="K172">
        <v>1.327</v>
      </c>
      <c r="L172">
        <v>0.17799999999999999</v>
      </c>
      <c r="M172">
        <v>0.05</v>
      </c>
      <c r="N172">
        <v>0.13363497559915768</v>
      </c>
      <c r="O172">
        <v>19.326666666666668</v>
      </c>
      <c r="P172">
        <v>27.62</v>
      </c>
      <c r="Q172" s="27">
        <v>2.7504044980179598</v>
      </c>
      <c r="R172" s="27">
        <v>1.0921545672740094</v>
      </c>
      <c r="S172" s="27">
        <v>388.19600000000003</v>
      </c>
      <c r="T172" s="27">
        <v>368.23399999999998</v>
      </c>
      <c r="U172" s="27">
        <v>442.00700000000001</v>
      </c>
      <c r="V172" s="27">
        <v>489.88499999999999</v>
      </c>
      <c r="W172" s="27">
        <v>452.39800000000002</v>
      </c>
      <c r="X172" s="27">
        <v>325.053</v>
      </c>
      <c r="Y172" s="27">
        <v>435.18200000000002</v>
      </c>
      <c r="Z172" s="27">
        <v>893.86199999999997</v>
      </c>
      <c r="AA172">
        <v>0.497</v>
      </c>
      <c r="AB172">
        <v>740.9</v>
      </c>
      <c r="AC172">
        <v>622.1</v>
      </c>
      <c r="AD172">
        <v>603.9</v>
      </c>
      <c r="AE172">
        <v>393</v>
      </c>
      <c r="AF172">
        <v>0.28999999999999998</v>
      </c>
      <c r="AG172">
        <v>601.9</v>
      </c>
      <c r="AH172">
        <v>0.51600000000000001</v>
      </c>
      <c r="AI172">
        <v>0.70499999999999996</v>
      </c>
      <c r="AJ172">
        <v>161.5</v>
      </c>
      <c r="AK172">
        <v>12.94</v>
      </c>
      <c r="AL172">
        <v>165.7</v>
      </c>
      <c r="AM172">
        <v>40.835000000000001</v>
      </c>
      <c r="AN172">
        <v>-86.807100000000005</v>
      </c>
      <c r="AO172">
        <v>198.2</v>
      </c>
      <c r="AP172">
        <v>212.6</v>
      </c>
      <c r="AQ172">
        <v>7.92</v>
      </c>
      <c r="AR172">
        <v>-78.8</v>
      </c>
      <c r="AS172">
        <v>11.9</v>
      </c>
      <c r="AT172">
        <v>0</v>
      </c>
      <c r="AU172">
        <v>26.58</v>
      </c>
      <c r="AV172">
        <v>3.94</v>
      </c>
      <c r="AW172">
        <v>0</v>
      </c>
      <c r="AX172">
        <v>-86.807147639999997</v>
      </c>
      <c r="AY172">
        <v>40.835024840000003</v>
      </c>
      <c r="AZ172">
        <f t="shared" ref="AZ172:AZ230" si="9">MONTH(BD172)</f>
        <v>7</v>
      </c>
      <c r="BA172">
        <f t="shared" ref="BA172:BA230" si="10">DAY(BD172)</f>
        <v>30</v>
      </c>
      <c r="BB172">
        <f t="shared" ref="BB172:BB230" si="11">YEAR(BD172)</f>
        <v>2024</v>
      </c>
      <c r="BD172" s="19">
        <v>45503</v>
      </c>
    </row>
    <row r="173" spans="1:56" x14ac:dyDescent="0.25">
      <c r="A173" s="25">
        <v>10438</v>
      </c>
      <c r="B173" t="s">
        <v>601</v>
      </c>
      <c r="C173" t="s">
        <v>601</v>
      </c>
      <c r="D173" s="27" t="s">
        <v>503</v>
      </c>
      <c r="E173" s="27">
        <v>2</v>
      </c>
      <c r="F173" s="56"/>
      <c r="G173">
        <v>8165</v>
      </c>
      <c r="H173" t="s">
        <v>18</v>
      </c>
      <c r="I173" t="s">
        <v>8</v>
      </c>
      <c r="J173">
        <v>8.0000000000000004E-4</v>
      </c>
      <c r="K173">
        <v>0.92800000000000005</v>
      </c>
      <c r="L173">
        <v>0.14799999999999999</v>
      </c>
      <c r="N173" s="41">
        <v>0.15</v>
      </c>
      <c r="O173">
        <v>15.373333333333333</v>
      </c>
      <c r="P173">
        <v>22.466666666666669</v>
      </c>
      <c r="Q173" s="27">
        <v>2.4874807863441468</v>
      </c>
      <c r="R173" s="27">
        <v>0.81953967916758952</v>
      </c>
      <c r="AA173">
        <v>0.39300000000000002</v>
      </c>
      <c r="AB173">
        <v>740.6</v>
      </c>
      <c r="AC173">
        <v>633.9</v>
      </c>
      <c r="AD173">
        <v>610</v>
      </c>
      <c r="AE173">
        <v>396</v>
      </c>
      <c r="AF173">
        <v>0.28999999999999998</v>
      </c>
      <c r="AG173">
        <v>607.4</v>
      </c>
      <c r="AH173">
        <v>0.4</v>
      </c>
      <c r="AI173">
        <v>0.55600000000000005</v>
      </c>
      <c r="AJ173">
        <v>187.6</v>
      </c>
      <c r="AK173">
        <v>14.91</v>
      </c>
      <c r="AL173">
        <v>192.6</v>
      </c>
      <c r="AM173">
        <v>40.84066</v>
      </c>
      <c r="AN173">
        <v>-86.805250000000001</v>
      </c>
      <c r="AO173">
        <v>196.5</v>
      </c>
      <c r="AP173">
        <v>221.6</v>
      </c>
      <c r="AQ173">
        <v>7.95</v>
      </c>
      <c r="AR173">
        <v>-80.599999999999994</v>
      </c>
      <c r="AS173">
        <v>11.9</v>
      </c>
      <c r="AT173">
        <v>0</v>
      </c>
      <c r="AU173">
        <v>27.058</v>
      </c>
      <c r="AV173">
        <v>6.38</v>
      </c>
      <c r="AW173">
        <v>0</v>
      </c>
      <c r="AX173">
        <v>-86.805258600000002</v>
      </c>
      <c r="AY173">
        <v>40.840702100000001</v>
      </c>
      <c r="AZ173">
        <f t="shared" si="9"/>
        <v>7</v>
      </c>
      <c r="BA173">
        <f t="shared" si="10"/>
        <v>30</v>
      </c>
      <c r="BB173">
        <f t="shared" si="11"/>
        <v>2024</v>
      </c>
      <c r="BD173" s="19">
        <v>45503</v>
      </c>
    </row>
    <row r="174" spans="1:56" x14ac:dyDescent="0.25">
      <c r="A174" s="25">
        <v>10439</v>
      </c>
      <c r="B174" t="s">
        <v>602</v>
      </c>
      <c r="C174" t="s">
        <v>602</v>
      </c>
      <c r="D174" s="27" t="s">
        <v>498</v>
      </c>
      <c r="E174" s="27">
        <v>5</v>
      </c>
      <c r="F174" s="56"/>
      <c r="G174">
        <v>6425</v>
      </c>
      <c r="H174" t="s">
        <v>18</v>
      </c>
      <c r="I174" t="s">
        <v>8</v>
      </c>
      <c r="J174">
        <v>5.1999999999999998E-3</v>
      </c>
      <c r="K174">
        <v>1.6850000000000001</v>
      </c>
      <c r="L174">
        <v>0.28899999999999998</v>
      </c>
      <c r="N174">
        <v>1.7915727951992057E-2</v>
      </c>
      <c r="O174">
        <v>12.306666666666667</v>
      </c>
      <c r="P174">
        <v>22.8</v>
      </c>
      <c r="Q174" s="27">
        <v>3.4107475123371898</v>
      </c>
      <c r="R174" s="27">
        <v>1.406943039106737</v>
      </c>
      <c r="S174" s="27">
        <v>456.88900000000001</v>
      </c>
      <c r="T174" s="27">
        <v>452.46300000000002</v>
      </c>
      <c r="U174" s="27">
        <v>524.61699999999996</v>
      </c>
      <c r="V174" s="27">
        <v>572.57799999999997</v>
      </c>
      <c r="W174" s="27">
        <v>543.46400000000006</v>
      </c>
      <c r="X174" s="27">
        <v>446.59399999999999</v>
      </c>
      <c r="Y174" s="27">
        <v>514.83199999999999</v>
      </c>
      <c r="Z174" s="27">
        <v>989.59699999999998</v>
      </c>
      <c r="AA174">
        <v>0.38500000000000001</v>
      </c>
      <c r="AB174">
        <v>740.8</v>
      </c>
      <c r="AC174">
        <v>598.1</v>
      </c>
      <c r="AD174">
        <v>586.6</v>
      </c>
      <c r="AE174">
        <v>381</v>
      </c>
      <c r="AF174">
        <v>0.28000000000000003</v>
      </c>
      <c r="AG174">
        <v>585.4</v>
      </c>
      <c r="AH174">
        <v>0.38800000000000001</v>
      </c>
      <c r="AI174">
        <v>0.54600000000000004</v>
      </c>
      <c r="AJ174">
        <v>143.1</v>
      </c>
      <c r="AK174">
        <v>11.59</v>
      </c>
      <c r="AL174">
        <v>146.9</v>
      </c>
      <c r="AM174">
        <v>40.823880000000003</v>
      </c>
      <c r="AN174">
        <v>-86.795720000000003</v>
      </c>
      <c r="AO174">
        <v>191.7</v>
      </c>
      <c r="AP174">
        <v>234.1</v>
      </c>
      <c r="AQ174">
        <v>8.01</v>
      </c>
      <c r="AR174">
        <v>-83.9</v>
      </c>
      <c r="AS174">
        <v>11.9</v>
      </c>
      <c r="AT174">
        <v>0</v>
      </c>
      <c r="AU174">
        <v>26.021999999999998</v>
      </c>
      <c r="AV174">
        <v>2.38</v>
      </c>
      <c r="AW174">
        <v>0</v>
      </c>
      <c r="AX174">
        <v>-86.795836289999997</v>
      </c>
      <c r="AY174">
        <v>40.823874850000003</v>
      </c>
      <c r="AZ174">
        <f t="shared" si="9"/>
        <v>7</v>
      </c>
      <c r="BA174">
        <f t="shared" si="10"/>
        <v>30</v>
      </c>
      <c r="BB174">
        <f t="shared" si="11"/>
        <v>2024</v>
      </c>
      <c r="BD174" s="19">
        <v>45503</v>
      </c>
    </row>
    <row r="175" spans="1:56" x14ac:dyDescent="0.25">
      <c r="A175" s="25">
        <v>10440</v>
      </c>
      <c r="B175" t="s">
        <v>603</v>
      </c>
      <c r="C175" t="s">
        <v>603</v>
      </c>
      <c r="D175" s="27" t="s">
        <v>477</v>
      </c>
      <c r="E175" s="27">
        <v>6</v>
      </c>
      <c r="F175" s="56"/>
      <c r="G175">
        <v>8245</v>
      </c>
      <c r="H175" t="s">
        <v>18</v>
      </c>
      <c r="I175" t="s">
        <v>8</v>
      </c>
      <c r="J175">
        <v>1.8599999999999998E-2</v>
      </c>
      <c r="K175">
        <v>1.6919999999999999</v>
      </c>
      <c r="L175">
        <v>0.27400000000000002</v>
      </c>
      <c r="N175" s="41">
        <v>0.15</v>
      </c>
      <c r="O175">
        <v>0.79666666666666652</v>
      </c>
      <c r="P175">
        <v>1.2033333333333334</v>
      </c>
      <c r="Q175" s="27">
        <v>3.2221503114634737</v>
      </c>
      <c r="R175" s="27">
        <v>1.4263146373733664</v>
      </c>
      <c r="S175" s="27">
        <v>391.72399999999999</v>
      </c>
      <c r="T175" s="27">
        <v>367.09899999999999</v>
      </c>
      <c r="U175" s="27">
        <v>443.46499999999997</v>
      </c>
      <c r="V175" s="27">
        <v>498.09399999999999</v>
      </c>
      <c r="W175" s="27">
        <v>481.56400000000002</v>
      </c>
      <c r="X175" s="27">
        <v>367.11200000000002</v>
      </c>
      <c r="Y175" s="27">
        <v>416.375</v>
      </c>
      <c r="Z175" s="27">
        <v>904.84100000000001</v>
      </c>
      <c r="AA175">
        <v>0.438</v>
      </c>
      <c r="AB175">
        <v>740.3</v>
      </c>
      <c r="AC175">
        <v>619.20000000000005</v>
      </c>
      <c r="AD175">
        <v>632.29999999999995</v>
      </c>
      <c r="AE175">
        <v>411</v>
      </c>
      <c r="AF175">
        <v>0.31</v>
      </c>
      <c r="AG175">
        <v>633.6</v>
      </c>
      <c r="AH175">
        <v>0.45300000000000001</v>
      </c>
      <c r="AI175">
        <v>0.622</v>
      </c>
      <c r="AJ175">
        <v>86.5</v>
      </c>
      <c r="AK175">
        <v>7.28</v>
      </c>
      <c r="AL175">
        <v>88.7</v>
      </c>
      <c r="AM175">
        <v>40.835140000000003</v>
      </c>
      <c r="AN175">
        <v>-86.781679999999994</v>
      </c>
      <c r="AO175">
        <v>195.9</v>
      </c>
      <c r="AP175">
        <v>184.8</v>
      </c>
      <c r="AQ175">
        <v>7.85</v>
      </c>
      <c r="AR175">
        <v>-73.900000000000006</v>
      </c>
      <c r="AS175">
        <v>11.9</v>
      </c>
      <c r="AT175">
        <v>0</v>
      </c>
      <c r="AU175">
        <v>23.914000000000001</v>
      </c>
      <c r="AV175">
        <v>2.41</v>
      </c>
      <c r="AW175">
        <v>0</v>
      </c>
      <c r="AX175">
        <v>-86.781764559999999</v>
      </c>
      <c r="AY175">
        <v>40.834882550000003</v>
      </c>
      <c r="AZ175">
        <f t="shared" si="9"/>
        <v>7</v>
      </c>
      <c r="BA175">
        <f t="shared" si="10"/>
        <v>30</v>
      </c>
      <c r="BB175">
        <f t="shared" si="11"/>
        <v>2024</v>
      </c>
      <c r="BD175" s="19">
        <v>45503</v>
      </c>
    </row>
    <row r="176" spans="1:56" x14ac:dyDescent="0.25">
      <c r="A176" s="25">
        <v>10441</v>
      </c>
      <c r="B176" t="s">
        <v>604</v>
      </c>
      <c r="C176" t="s">
        <v>604</v>
      </c>
      <c r="D176" s="27" t="s">
        <v>478</v>
      </c>
      <c r="E176" s="27">
        <v>8</v>
      </c>
      <c r="F176" s="56"/>
      <c r="G176">
        <v>5065</v>
      </c>
      <c r="H176" t="s">
        <v>18</v>
      </c>
      <c r="I176" t="s">
        <v>8</v>
      </c>
      <c r="J176">
        <v>2.41E-2</v>
      </c>
      <c r="K176">
        <v>1.637</v>
      </c>
      <c r="L176">
        <v>0.29199999999999998</v>
      </c>
      <c r="M176">
        <v>0.05</v>
      </c>
      <c r="N176" s="41">
        <v>0.15</v>
      </c>
      <c r="O176">
        <v>3.6233333333333335</v>
      </c>
      <c r="P176">
        <v>5.13</v>
      </c>
      <c r="Q176" s="27">
        <v>2.7970903109241427</v>
      </c>
      <c r="R176" s="27">
        <v>1.2408046789727976</v>
      </c>
      <c r="S176" s="27">
        <v>481.00099999999998</v>
      </c>
      <c r="T176" s="27">
        <v>447.62700000000001</v>
      </c>
      <c r="U176" s="27">
        <v>511.36</v>
      </c>
      <c r="V176" s="27">
        <v>561.995</v>
      </c>
      <c r="W176" s="27">
        <v>539.02099999999996</v>
      </c>
      <c r="X176" s="27">
        <v>421.87099999999998</v>
      </c>
      <c r="Y176" s="27">
        <v>469.09300000000002</v>
      </c>
      <c r="Z176" s="27">
        <v>889.66800000000001</v>
      </c>
      <c r="AA176">
        <v>0.38500000000000001</v>
      </c>
      <c r="AB176">
        <v>740.8</v>
      </c>
      <c r="AC176">
        <v>619</v>
      </c>
      <c r="AD176">
        <v>626.6</v>
      </c>
      <c r="AE176">
        <v>407</v>
      </c>
      <c r="AF176">
        <v>0.3</v>
      </c>
      <c r="AG176">
        <v>627.4</v>
      </c>
      <c r="AH176">
        <v>0.45100000000000001</v>
      </c>
      <c r="AI176">
        <v>0.54600000000000004</v>
      </c>
      <c r="AJ176">
        <v>90.7</v>
      </c>
      <c r="AK176">
        <v>7.57</v>
      </c>
      <c r="AL176">
        <v>93.1</v>
      </c>
      <c r="AM176">
        <v>40.811059999999998</v>
      </c>
      <c r="AN176">
        <v>-86.794200000000004</v>
      </c>
      <c r="AO176">
        <v>194.1</v>
      </c>
      <c r="AP176">
        <v>230.3</v>
      </c>
      <c r="AQ176">
        <v>7.84</v>
      </c>
      <c r="AR176">
        <v>-73.8</v>
      </c>
      <c r="AS176">
        <v>11.9</v>
      </c>
      <c r="AT176">
        <v>0</v>
      </c>
      <c r="AU176">
        <v>24.369</v>
      </c>
      <c r="AV176">
        <v>1.82</v>
      </c>
      <c r="AW176">
        <v>0</v>
      </c>
      <c r="AX176">
        <v>-86.794299730000006</v>
      </c>
      <c r="AY176">
        <v>40.81108966</v>
      </c>
      <c r="AZ176">
        <f t="shared" si="9"/>
        <v>7</v>
      </c>
      <c r="BA176">
        <f t="shared" si="10"/>
        <v>30</v>
      </c>
      <c r="BB176">
        <f t="shared" si="11"/>
        <v>2024</v>
      </c>
      <c r="BD176" s="19">
        <v>45503</v>
      </c>
    </row>
    <row r="177" spans="1:56" x14ac:dyDescent="0.25">
      <c r="A177" s="25">
        <v>10442</v>
      </c>
      <c r="B177" t="s">
        <v>605</v>
      </c>
      <c r="C177" t="s">
        <v>605</v>
      </c>
      <c r="D177" s="27" t="s">
        <v>479</v>
      </c>
      <c r="E177" s="27">
        <v>9</v>
      </c>
      <c r="F177" s="56"/>
      <c r="G177">
        <v>3385</v>
      </c>
      <c r="H177" t="s">
        <v>18</v>
      </c>
      <c r="I177" t="s">
        <v>8</v>
      </c>
      <c r="J177">
        <v>1.47E-2</v>
      </c>
      <c r="K177">
        <v>1.655</v>
      </c>
      <c r="L177">
        <v>0.35</v>
      </c>
      <c r="N177" s="41">
        <v>0.15</v>
      </c>
      <c r="O177">
        <v>23.680000000000003</v>
      </c>
      <c r="P177">
        <v>23.616666666666664</v>
      </c>
      <c r="Q177" s="27">
        <v>2.8894506916916107</v>
      </c>
      <c r="R177" s="27">
        <v>1.2376433417556738</v>
      </c>
      <c r="S177" s="27">
        <v>434.303</v>
      </c>
      <c r="T177" s="27">
        <v>395.64699999999999</v>
      </c>
      <c r="U177" s="27">
        <v>467.14499999999998</v>
      </c>
      <c r="V177" s="27">
        <v>517.52700000000004</v>
      </c>
      <c r="W177" s="27">
        <v>487.58600000000001</v>
      </c>
      <c r="X177" s="27">
        <v>354.79599999999999</v>
      </c>
      <c r="Y177" s="27">
        <v>458.06099999999998</v>
      </c>
      <c r="Z177" s="27">
        <v>946.92</v>
      </c>
      <c r="AA177">
        <v>0.44</v>
      </c>
      <c r="AB177">
        <v>740.7</v>
      </c>
      <c r="AC177">
        <v>613.5</v>
      </c>
      <c r="AD177">
        <v>621.29999999999995</v>
      </c>
      <c r="AE177">
        <v>404</v>
      </c>
      <c r="AF177">
        <v>0.3</v>
      </c>
      <c r="AG177">
        <v>622.1</v>
      </c>
      <c r="AH177">
        <v>0.436</v>
      </c>
      <c r="AI177">
        <v>0.624</v>
      </c>
      <c r="AJ177">
        <v>103.7</v>
      </c>
      <c r="AK177">
        <v>8.67</v>
      </c>
      <c r="AL177">
        <v>106.5</v>
      </c>
      <c r="AM177">
        <v>40.804279999999999</v>
      </c>
      <c r="AN177">
        <v>-86.77467</v>
      </c>
      <c r="AO177">
        <v>199.5</v>
      </c>
      <c r="AP177">
        <v>229.6</v>
      </c>
      <c r="AQ177">
        <v>7.89</v>
      </c>
      <c r="AR177">
        <v>-76.7</v>
      </c>
      <c r="AS177">
        <v>11.9</v>
      </c>
      <c r="AT177">
        <v>0</v>
      </c>
      <c r="AU177">
        <v>24.343</v>
      </c>
      <c r="AV177">
        <v>2.31</v>
      </c>
      <c r="AW177">
        <v>0</v>
      </c>
      <c r="AX177">
        <v>-86.774830640000005</v>
      </c>
      <c r="AY177">
        <v>40.804242270000003</v>
      </c>
      <c r="AZ177">
        <f t="shared" si="9"/>
        <v>7</v>
      </c>
      <c r="BA177">
        <f t="shared" si="10"/>
        <v>30</v>
      </c>
      <c r="BB177">
        <f t="shared" si="11"/>
        <v>2024</v>
      </c>
      <c r="BD177" s="19">
        <v>45503</v>
      </c>
    </row>
    <row r="178" spans="1:56" x14ac:dyDescent="0.25">
      <c r="A178" s="25">
        <v>10443</v>
      </c>
      <c r="B178" t="s">
        <v>606</v>
      </c>
      <c r="C178" t="s">
        <v>606</v>
      </c>
      <c r="D178" s="27" t="s">
        <v>480</v>
      </c>
      <c r="E178" s="27">
        <v>10</v>
      </c>
      <c r="F178" s="56"/>
      <c r="G178">
        <v>2205</v>
      </c>
      <c r="H178" t="s">
        <v>18</v>
      </c>
      <c r="I178" t="s">
        <v>8</v>
      </c>
      <c r="J178">
        <v>1.5800000000000002E-2</v>
      </c>
      <c r="K178">
        <v>1.7310000000000001</v>
      </c>
      <c r="L178">
        <v>0.29699999999999999</v>
      </c>
      <c r="M178">
        <v>0.05</v>
      </c>
      <c r="N178">
        <v>9.2149737468192661E-2</v>
      </c>
      <c r="O178">
        <v>17.753333333333334</v>
      </c>
      <c r="P178">
        <v>24.91</v>
      </c>
      <c r="Q178" s="27">
        <v>3.2393414772267617</v>
      </c>
      <c r="R178" s="27">
        <v>1.3270351962568907</v>
      </c>
      <c r="S178" s="27">
        <v>471.226</v>
      </c>
      <c r="T178" s="27">
        <v>439.84100000000001</v>
      </c>
      <c r="U178" s="27">
        <v>511.762</v>
      </c>
      <c r="V178" s="27">
        <v>569.77499999999998</v>
      </c>
      <c r="W178" s="27">
        <v>543.50099999999998</v>
      </c>
      <c r="X178" s="27">
        <v>428.70400000000001</v>
      </c>
      <c r="Y178" s="27">
        <v>482.38600000000002</v>
      </c>
      <c r="Z178" s="27">
        <v>890.67</v>
      </c>
      <c r="AA178">
        <v>0.36399999999999999</v>
      </c>
      <c r="AB178">
        <v>740.7</v>
      </c>
      <c r="AC178">
        <v>615.4</v>
      </c>
      <c r="AD178">
        <v>620</v>
      </c>
      <c r="AE178">
        <v>403</v>
      </c>
      <c r="AF178">
        <v>0.3</v>
      </c>
      <c r="AG178">
        <v>620.5</v>
      </c>
      <c r="AH178">
        <v>0.379</v>
      </c>
      <c r="AI178">
        <v>0.51700000000000002</v>
      </c>
      <c r="AJ178">
        <v>117.7</v>
      </c>
      <c r="AK178">
        <v>9.7799999999999994</v>
      </c>
      <c r="AL178">
        <v>120.8</v>
      </c>
      <c r="AM178">
        <v>40.794739999999997</v>
      </c>
      <c r="AN178">
        <v>-86.774280000000005</v>
      </c>
      <c r="AO178">
        <v>200.2</v>
      </c>
      <c r="AP178">
        <v>226.6</v>
      </c>
      <c r="AQ178">
        <v>8.0500000000000007</v>
      </c>
      <c r="AR178">
        <v>-86.1</v>
      </c>
      <c r="AS178">
        <v>12</v>
      </c>
      <c r="AT178">
        <v>0</v>
      </c>
      <c r="AU178">
        <v>24.609000000000002</v>
      </c>
      <c r="AV178">
        <v>2.06</v>
      </c>
      <c r="AW178">
        <v>0</v>
      </c>
      <c r="AX178">
        <v>-86.774344880000001</v>
      </c>
      <c r="AY178">
        <v>40.794689409999997</v>
      </c>
      <c r="AZ178">
        <f t="shared" si="9"/>
        <v>7</v>
      </c>
      <c r="BA178">
        <f t="shared" si="10"/>
        <v>30</v>
      </c>
      <c r="BB178">
        <f t="shared" si="11"/>
        <v>2024</v>
      </c>
      <c r="BD178" s="19">
        <v>45503</v>
      </c>
    </row>
    <row r="179" spans="1:56" x14ac:dyDescent="0.25">
      <c r="A179" s="25">
        <v>10444</v>
      </c>
      <c r="B179" t="s">
        <v>607</v>
      </c>
      <c r="C179" t="s">
        <v>607</v>
      </c>
      <c r="D179" s="27" t="s">
        <v>481</v>
      </c>
      <c r="E179" s="27">
        <v>11</v>
      </c>
      <c r="F179" s="56"/>
      <c r="G179">
        <v>1385</v>
      </c>
      <c r="H179" t="s">
        <v>18</v>
      </c>
      <c r="I179" t="s">
        <v>8</v>
      </c>
      <c r="J179">
        <v>0.14829999999999999</v>
      </c>
      <c r="K179">
        <v>1.2889999999999999</v>
      </c>
      <c r="L179">
        <v>0.28499999999999998</v>
      </c>
      <c r="N179" s="41">
        <v>0.15</v>
      </c>
      <c r="O179">
        <v>13.683333333333332</v>
      </c>
      <c r="P179">
        <v>23.403333333333332</v>
      </c>
      <c r="Q179" s="27">
        <v>3.0537780114877435</v>
      </c>
      <c r="R179" s="27">
        <v>1.1357406633739253</v>
      </c>
      <c r="S179" s="27">
        <v>442.28</v>
      </c>
      <c r="T179" s="27">
        <v>395.70600000000002</v>
      </c>
      <c r="U179" s="27">
        <v>464.88799999999998</v>
      </c>
      <c r="V179" s="27">
        <v>501.69</v>
      </c>
      <c r="W179" s="27">
        <v>480.565</v>
      </c>
      <c r="X179" s="27">
        <v>351.786</v>
      </c>
      <c r="Y179" s="27">
        <v>449.214</v>
      </c>
      <c r="Z179" s="27">
        <v>871.75800000000004</v>
      </c>
      <c r="AA179">
        <v>0.57599999999999996</v>
      </c>
      <c r="AB179">
        <v>740.5</v>
      </c>
      <c r="AC179">
        <v>610.79999999999995</v>
      </c>
      <c r="AD179">
        <v>612.5</v>
      </c>
      <c r="AE179">
        <v>398</v>
      </c>
      <c r="AF179">
        <v>0.3</v>
      </c>
      <c r="AG179">
        <v>612.70000000000005</v>
      </c>
      <c r="AH179">
        <v>0.57099999999999995</v>
      </c>
      <c r="AI179">
        <v>0.81699999999999995</v>
      </c>
      <c r="AJ179">
        <v>128.4</v>
      </c>
      <c r="AK179">
        <v>10.62</v>
      </c>
      <c r="AL179">
        <v>131.69999999999999</v>
      </c>
      <c r="AM179">
        <v>40.788550000000001</v>
      </c>
      <c r="AN179">
        <v>-86.771940000000001</v>
      </c>
      <c r="AO179">
        <v>198.1</v>
      </c>
      <c r="AP179">
        <v>207.5</v>
      </c>
      <c r="AQ179">
        <v>8.07</v>
      </c>
      <c r="AR179">
        <v>-87.4</v>
      </c>
      <c r="AS179">
        <v>11.9</v>
      </c>
      <c r="AT179">
        <v>0</v>
      </c>
      <c r="AU179">
        <v>24.858000000000001</v>
      </c>
      <c r="AV179">
        <v>2.3199999999999998</v>
      </c>
      <c r="AW179">
        <v>0</v>
      </c>
      <c r="AX179">
        <v>-86.772130180000005</v>
      </c>
      <c r="AY179">
        <v>40.78862204</v>
      </c>
      <c r="AZ179">
        <f t="shared" si="9"/>
        <v>7</v>
      </c>
      <c r="BA179">
        <f t="shared" si="10"/>
        <v>30</v>
      </c>
      <c r="BB179">
        <f t="shared" si="11"/>
        <v>2024</v>
      </c>
      <c r="BD179" s="19">
        <v>45503</v>
      </c>
    </row>
    <row r="180" spans="1:56" x14ac:dyDescent="0.25">
      <c r="A180" s="25">
        <v>10445</v>
      </c>
      <c r="B180" t="s">
        <v>608</v>
      </c>
      <c r="C180" t="s">
        <v>608</v>
      </c>
      <c r="D180" s="27" t="s">
        <v>482</v>
      </c>
      <c r="E180" s="27">
        <v>12</v>
      </c>
      <c r="F180" s="56"/>
      <c r="G180">
        <v>275</v>
      </c>
      <c r="H180" t="s">
        <v>18</v>
      </c>
      <c r="I180" t="s">
        <v>8</v>
      </c>
      <c r="J180">
        <v>4.4999999999999997E-3</v>
      </c>
      <c r="K180">
        <v>1.6890000000000001</v>
      </c>
      <c r="L180">
        <v>0.218</v>
      </c>
      <c r="N180" s="41">
        <v>0.15</v>
      </c>
      <c r="O180">
        <v>21.243333333333336</v>
      </c>
      <c r="P180">
        <v>26.656666666666666</v>
      </c>
      <c r="Q180" s="27">
        <v>3.5654680042067799</v>
      </c>
      <c r="R180" s="27">
        <v>1.3587158309221075</v>
      </c>
      <c r="S180" s="27">
        <v>446.238</v>
      </c>
      <c r="T180" s="27">
        <v>432.32799999999997</v>
      </c>
      <c r="U180" s="27">
        <v>505.02100000000002</v>
      </c>
      <c r="V180" s="27">
        <v>543.13400000000001</v>
      </c>
      <c r="W180" s="27">
        <v>515.34500000000003</v>
      </c>
      <c r="X180" s="27">
        <v>425.21300000000002</v>
      </c>
      <c r="Y180" s="27">
        <v>484.92</v>
      </c>
      <c r="Z180" s="27">
        <v>943.98800000000006</v>
      </c>
      <c r="AA180">
        <v>0.54800000000000004</v>
      </c>
      <c r="AB180">
        <v>740.6</v>
      </c>
      <c r="AC180">
        <v>612.79999999999995</v>
      </c>
      <c r="AD180">
        <v>613.70000000000005</v>
      </c>
      <c r="AE180">
        <v>399</v>
      </c>
      <c r="AF180">
        <v>0.3</v>
      </c>
      <c r="AG180">
        <v>613.70000000000005</v>
      </c>
      <c r="AH180">
        <v>0.63300000000000001</v>
      </c>
      <c r="AI180">
        <v>0.77800000000000002</v>
      </c>
      <c r="AJ180">
        <v>133.1</v>
      </c>
      <c r="AK180">
        <v>11</v>
      </c>
      <c r="AL180">
        <v>136.6</v>
      </c>
      <c r="AM180">
        <v>40.782499999999999</v>
      </c>
      <c r="AN180">
        <v>-86.762060000000005</v>
      </c>
      <c r="AO180">
        <v>194</v>
      </c>
      <c r="AP180">
        <v>152.6</v>
      </c>
      <c r="AQ180">
        <v>8.18</v>
      </c>
      <c r="AR180">
        <v>-93.7</v>
      </c>
      <c r="AS180">
        <v>11.9</v>
      </c>
      <c r="AT180">
        <v>0</v>
      </c>
      <c r="AU180">
        <v>24.925999999999998</v>
      </c>
      <c r="AV180">
        <v>1.69</v>
      </c>
      <c r="AW180">
        <v>0</v>
      </c>
      <c r="AX180">
        <v>-86.762205379999997</v>
      </c>
      <c r="AY180">
        <v>40.782380209999999</v>
      </c>
      <c r="AZ180">
        <f t="shared" si="9"/>
        <v>7</v>
      </c>
      <c r="BA180">
        <f t="shared" si="10"/>
        <v>30</v>
      </c>
      <c r="BB180">
        <f t="shared" si="11"/>
        <v>2024</v>
      </c>
      <c r="BD180" s="19">
        <v>45503</v>
      </c>
    </row>
    <row r="181" spans="1:56" x14ac:dyDescent="0.25">
      <c r="A181" s="25">
        <v>10446</v>
      </c>
      <c r="B181" t="s">
        <v>609</v>
      </c>
      <c r="C181" t="s">
        <v>609</v>
      </c>
      <c r="D181" s="27" t="s">
        <v>483</v>
      </c>
      <c r="E181" s="27">
        <v>14</v>
      </c>
      <c r="F181" s="56"/>
      <c r="G181">
        <v>4225</v>
      </c>
      <c r="H181" t="s">
        <v>18</v>
      </c>
      <c r="I181" t="s">
        <v>8</v>
      </c>
      <c r="J181">
        <v>1.1299999999999999E-2</v>
      </c>
      <c r="K181">
        <v>1.7310000000000001</v>
      </c>
      <c r="L181">
        <v>0.32400000000000001</v>
      </c>
      <c r="N181" s="41">
        <v>0.15</v>
      </c>
      <c r="O181">
        <v>3.0933333333333333</v>
      </c>
      <c r="P181">
        <v>3.9266666666666663</v>
      </c>
      <c r="Q181" s="27">
        <v>2.9445635466386215</v>
      </c>
      <c r="R181" s="27">
        <v>1.3010046110861073</v>
      </c>
      <c r="S181" s="27">
        <v>520.85299999999995</v>
      </c>
      <c r="T181" s="27">
        <v>538.327</v>
      </c>
      <c r="U181" s="27">
        <v>610.27099999999996</v>
      </c>
      <c r="V181" s="27">
        <v>664.04300000000001</v>
      </c>
      <c r="W181" s="27">
        <v>655.10299999999995</v>
      </c>
      <c r="X181" s="27">
        <v>559.78399999999999</v>
      </c>
      <c r="Y181" s="27">
        <v>606.548</v>
      </c>
      <c r="Z181" s="27">
        <v>1079.77</v>
      </c>
      <c r="AA181">
        <v>0.41599999999999998</v>
      </c>
      <c r="AB181">
        <v>740.8</v>
      </c>
      <c r="AC181">
        <v>618.79999999999995</v>
      </c>
      <c r="AD181">
        <v>628.29999999999995</v>
      </c>
      <c r="AE181">
        <v>408</v>
      </c>
      <c r="AF181">
        <v>0.3</v>
      </c>
      <c r="AG181">
        <v>629.29999999999995</v>
      </c>
      <c r="AH181">
        <v>0.43099999999999999</v>
      </c>
      <c r="AI181">
        <v>0.59099999999999997</v>
      </c>
      <c r="AJ181">
        <v>91.9</v>
      </c>
      <c r="AK181">
        <v>7.69</v>
      </c>
      <c r="AL181">
        <v>94.3</v>
      </c>
      <c r="AM181">
        <v>40.807319999999997</v>
      </c>
      <c r="AN181">
        <v>-86.784819999999996</v>
      </c>
      <c r="AO181">
        <v>195.6</v>
      </c>
      <c r="AP181">
        <v>110.5</v>
      </c>
      <c r="AQ181">
        <v>7.88</v>
      </c>
      <c r="AR181">
        <v>-75.7</v>
      </c>
      <c r="AS181">
        <v>11.9</v>
      </c>
      <c r="AT181">
        <v>0</v>
      </c>
      <c r="AU181">
        <v>24.206</v>
      </c>
      <c r="AV181">
        <v>1.91</v>
      </c>
      <c r="AW181">
        <v>0</v>
      </c>
      <c r="AX181">
        <v>-86.785247049999995</v>
      </c>
      <c r="AY181">
        <v>40.807313710000003</v>
      </c>
      <c r="AZ181">
        <f t="shared" si="9"/>
        <v>7</v>
      </c>
      <c r="BA181">
        <f t="shared" si="10"/>
        <v>30</v>
      </c>
      <c r="BB181">
        <f t="shared" si="11"/>
        <v>2024</v>
      </c>
      <c r="BD181" s="19">
        <v>45503</v>
      </c>
    </row>
    <row r="182" spans="1:56" x14ac:dyDescent="0.25">
      <c r="A182" s="25">
        <v>10447</v>
      </c>
      <c r="B182" t="s">
        <v>610</v>
      </c>
      <c r="C182" t="s">
        <v>610</v>
      </c>
      <c r="D182" s="27" t="s">
        <v>484</v>
      </c>
      <c r="E182" s="27">
        <v>15</v>
      </c>
      <c r="F182" s="56"/>
      <c r="G182">
        <v>2905</v>
      </c>
      <c r="H182" t="s">
        <v>18</v>
      </c>
      <c r="I182" t="s">
        <v>8</v>
      </c>
      <c r="J182">
        <v>-5.0000000000000001E-4</v>
      </c>
      <c r="K182">
        <v>1.782</v>
      </c>
      <c r="L182">
        <v>0.23100000000000001</v>
      </c>
      <c r="M182">
        <v>0.05</v>
      </c>
      <c r="N182" s="41">
        <v>0.15</v>
      </c>
      <c r="O182">
        <v>5.57</v>
      </c>
      <c r="P182">
        <v>8.8866666666666667</v>
      </c>
      <c r="Q182" s="27">
        <v>3.2732181862308876</v>
      </c>
      <c r="R182" s="27">
        <v>1.442861210892779</v>
      </c>
      <c r="S182" s="27">
        <v>527.76599999999996</v>
      </c>
      <c r="T182" s="27">
        <v>516.33799999999997</v>
      </c>
      <c r="U182" s="27">
        <v>594.10299999999995</v>
      </c>
      <c r="V182" s="27">
        <v>646.22199999999998</v>
      </c>
      <c r="W182" s="27">
        <v>646.27599999999995</v>
      </c>
      <c r="X182" s="27">
        <v>536.85199999999998</v>
      </c>
      <c r="Y182" s="27">
        <v>580.75599999999997</v>
      </c>
      <c r="Z182" s="27">
        <v>1027.29</v>
      </c>
      <c r="AA182">
        <v>0.40899999999999997</v>
      </c>
      <c r="AB182">
        <v>740.65000000000009</v>
      </c>
      <c r="AC182">
        <v>613.04999999999995</v>
      </c>
      <c r="AD182">
        <v>624</v>
      </c>
      <c r="AE182">
        <v>406</v>
      </c>
      <c r="AF182">
        <v>0.3</v>
      </c>
      <c r="AG182">
        <v>625.09999999999991</v>
      </c>
      <c r="AH182">
        <v>0.4345</v>
      </c>
      <c r="AI182">
        <v>0.58099999999999996</v>
      </c>
      <c r="AJ182">
        <v>102.75</v>
      </c>
      <c r="AK182">
        <v>8.620000000000001</v>
      </c>
      <c r="AL182">
        <v>105.44999999999999</v>
      </c>
      <c r="AM182">
        <v>40.799215000000004</v>
      </c>
      <c r="AN182">
        <v>-86.777704999999997</v>
      </c>
      <c r="AO182">
        <v>194.5</v>
      </c>
      <c r="AP182">
        <v>194.2</v>
      </c>
      <c r="AQ182">
        <v>7.93</v>
      </c>
      <c r="AR182">
        <v>-78.75</v>
      </c>
      <c r="AS182">
        <v>11.9</v>
      </c>
      <c r="AT182">
        <v>0</v>
      </c>
      <c r="AU182">
        <v>24.0825</v>
      </c>
      <c r="AV182">
        <v>2.46</v>
      </c>
      <c r="AW182">
        <v>0</v>
      </c>
      <c r="AX182">
        <v>-86.777779629999998</v>
      </c>
      <c r="AY182">
        <v>40.799243930000003</v>
      </c>
      <c r="AZ182">
        <f t="shared" si="9"/>
        <v>7</v>
      </c>
      <c r="BA182">
        <f t="shared" si="10"/>
        <v>30</v>
      </c>
      <c r="BB182">
        <f t="shared" si="11"/>
        <v>2024</v>
      </c>
      <c r="BD182" s="19">
        <v>45503</v>
      </c>
    </row>
    <row r="183" spans="1:56" x14ac:dyDescent="0.25">
      <c r="A183" s="25">
        <v>10448</v>
      </c>
      <c r="B183" t="s">
        <v>587</v>
      </c>
      <c r="C183" t="s">
        <v>587</v>
      </c>
      <c r="D183" s="27" t="s">
        <v>456</v>
      </c>
      <c r="E183" s="27">
        <v>1</v>
      </c>
      <c r="F183" s="56"/>
      <c r="G183">
        <v>5999</v>
      </c>
      <c r="H183" t="s">
        <v>17</v>
      </c>
      <c r="I183" t="s">
        <v>8</v>
      </c>
      <c r="J183">
        <v>-2.3999999999999998E-3</v>
      </c>
      <c r="K183">
        <v>1.079</v>
      </c>
      <c r="L183">
        <v>-2E-3</v>
      </c>
      <c r="M183">
        <v>0.10406091370558378</v>
      </c>
      <c r="N183" s="41">
        <v>0.15</v>
      </c>
      <c r="O183">
        <v>25.853333333333335</v>
      </c>
      <c r="P183">
        <v>39.36</v>
      </c>
      <c r="Q183">
        <v>2.5560183416919826</v>
      </c>
      <c r="R183">
        <v>0.93985472352581101</v>
      </c>
      <c r="S183">
        <v>225.107</v>
      </c>
      <c r="T183">
        <v>267.72199999999998</v>
      </c>
      <c r="U183">
        <v>392.904</v>
      </c>
      <c r="V183">
        <v>432.37</v>
      </c>
      <c r="W183">
        <v>333.14100000000002</v>
      </c>
      <c r="X183">
        <v>303.06099999999998</v>
      </c>
      <c r="Y183">
        <v>374.19200000000001</v>
      </c>
      <c r="Z183">
        <v>601.81799999999998</v>
      </c>
      <c r="AA183">
        <v>0.505</v>
      </c>
      <c r="AB183">
        <v>741.7</v>
      </c>
      <c r="AC183">
        <v>426.7</v>
      </c>
      <c r="AD183">
        <v>404.9</v>
      </c>
      <c r="AE183">
        <v>263</v>
      </c>
      <c r="AF183">
        <v>0.19</v>
      </c>
      <c r="AG183">
        <v>402.5</v>
      </c>
      <c r="AH183">
        <v>0.51700000000000002</v>
      </c>
      <c r="AI183">
        <v>0.71499999999999997</v>
      </c>
      <c r="AJ183">
        <v>146.5</v>
      </c>
      <c r="AK183">
        <v>11.49</v>
      </c>
      <c r="AL183">
        <v>150.1</v>
      </c>
      <c r="AM183">
        <v>40.681559999999998</v>
      </c>
      <c r="AN183">
        <v>-85.888450000000006</v>
      </c>
      <c r="AO183">
        <v>227.3</v>
      </c>
      <c r="AP183">
        <v>181.9</v>
      </c>
      <c r="AQ183">
        <v>8.64</v>
      </c>
      <c r="AR183">
        <v>-117.9</v>
      </c>
      <c r="AS183">
        <v>11.9</v>
      </c>
      <c r="AT183">
        <v>0</v>
      </c>
      <c r="AU183">
        <v>27.827999999999999</v>
      </c>
      <c r="AV183">
        <v>4.7300000000000004</v>
      </c>
      <c r="AW183">
        <v>0</v>
      </c>
      <c r="AX183">
        <v>-85.888437839999995</v>
      </c>
      <c r="AY183">
        <v>40.681490879999998</v>
      </c>
      <c r="AZ183">
        <f t="shared" si="9"/>
        <v>7</v>
      </c>
      <c r="BA183">
        <f t="shared" si="10"/>
        <v>31</v>
      </c>
      <c r="BB183">
        <f t="shared" si="11"/>
        <v>2024</v>
      </c>
      <c r="BD183" s="19">
        <v>45504</v>
      </c>
    </row>
    <row r="184" spans="1:56" x14ac:dyDescent="0.25">
      <c r="A184" s="25">
        <v>10449</v>
      </c>
      <c r="B184" t="s">
        <v>588</v>
      </c>
      <c r="C184" t="s">
        <v>588</v>
      </c>
      <c r="D184" s="27" t="s">
        <v>457</v>
      </c>
      <c r="E184" s="27">
        <v>2</v>
      </c>
      <c r="F184" s="56"/>
      <c r="G184">
        <v>8861</v>
      </c>
      <c r="H184" t="s">
        <v>17</v>
      </c>
      <c r="I184" t="s">
        <v>8</v>
      </c>
      <c r="J184">
        <v>-2.2000000000000001E-3</v>
      </c>
      <c r="K184">
        <v>0.97799999999999998</v>
      </c>
      <c r="L184">
        <v>-3.0000000000000001E-3</v>
      </c>
      <c r="M184">
        <v>0.05</v>
      </c>
      <c r="N184" s="41">
        <v>0.15</v>
      </c>
      <c r="O184">
        <v>7.94</v>
      </c>
      <c r="P184">
        <v>7.4366666666666665</v>
      </c>
      <c r="Q184">
        <v>2.666388132818279</v>
      </c>
      <c r="R184">
        <v>0.95454560293817592</v>
      </c>
      <c r="S184">
        <v>185.892</v>
      </c>
      <c r="T184">
        <v>220.14099999999999</v>
      </c>
      <c r="U184">
        <v>360.21699999999998</v>
      </c>
      <c r="V184">
        <v>392.858</v>
      </c>
      <c r="W184">
        <v>277.68700000000001</v>
      </c>
      <c r="X184">
        <v>243.15100000000001</v>
      </c>
      <c r="Y184">
        <v>307.45800000000003</v>
      </c>
      <c r="Z184">
        <v>506.95</v>
      </c>
      <c r="AA184">
        <v>0.54400000000000004</v>
      </c>
      <c r="AB184">
        <v>742</v>
      </c>
      <c r="AC184">
        <v>428.4</v>
      </c>
      <c r="AD184">
        <v>407.6</v>
      </c>
      <c r="AE184">
        <v>265</v>
      </c>
      <c r="AF184">
        <v>0.19</v>
      </c>
      <c r="AG184">
        <v>405.4</v>
      </c>
      <c r="AH184">
        <v>0.53700000000000003</v>
      </c>
      <c r="AI184">
        <v>0.77100000000000002</v>
      </c>
      <c r="AJ184">
        <v>136.80000000000001</v>
      </c>
      <c r="AK184">
        <v>10.76</v>
      </c>
      <c r="AL184">
        <v>140.19999999999999</v>
      </c>
      <c r="AM184">
        <v>40.676879999999997</v>
      </c>
      <c r="AN184">
        <v>-85.87679</v>
      </c>
      <c r="AO184">
        <v>225.7</v>
      </c>
      <c r="AP184">
        <v>175.1</v>
      </c>
      <c r="AQ184">
        <v>8.56</v>
      </c>
      <c r="AR184">
        <v>-113.5</v>
      </c>
      <c r="AS184">
        <v>11.9</v>
      </c>
      <c r="AT184">
        <v>0</v>
      </c>
      <c r="AU184">
        <v>27.677</v>
      </c>
      <c r="AV184">
        <v>4.5999999999999996</v>
      </c>
      <c r="AW184">
        <v>0</v>
      </c>
      <c r="AX184">
        <v>-85.876832719999996</v>
      </c>
      <c r="AY184">
        <v>40.676903039999999</v>
      </c>
      <c r="AZ184">
        <f t="shared" si="9"/>
        <v>7</v>
      </c>
      <c r="BA184">
        <f t="shared" si="10"/>
        <v>31</v>
      </c>
      <c r="BB184">
        <f t="shared" si="11"/>
        <v>2024</v>
      </c>
      <c r="BD184" s="19">
        <v>45504</v>
      </c>
    </row>
    <row r="185" spans="1:56" x14ac:dyDescent="0.25">
      <c r="A185" s="25">
        <v>10450</v>
      </c>
      <c r="B185" t="s">
        <v>589</v>
      </c>
      <c r="C185" t="s">
        <v>589</v>
      </c>
      <c r="D185" s="27" t="s">
        <v>458</v>
      </c>
      <c r="E185" s="27">
        <v>3</v>
      </c>
      <c r="F185" s="56"/>
      <c r="G185">
        <v>9921</v>
      </c>
      <c r="H185" t="s">
        <v>17</v>
      </c>
      <c r="I185" t="s">
        <v>8</v>
      </c>
      <c r="J185">
        <v>-3.7000000000000002E-3</v>
      </c>
      <c r="K185">
        <v>0.94699999999999995</v>
      </c>
      <c r="L185">
        <v>-2E-3</v>
      </c>
      <c r="N185" s="41">
        <v>0.15</v>
      </c>
      <c r="O185">
        <v>5.9633333333333338</v>
      </c>
      <c r="P185">
        <v>8.1933333333333334</v>
      </c>
      <c r="Q185">
        <v>2.4463416104785671</v>
      </c>
      <c r="R185">
        <v>0.87007304631707816</v>
      </c>
      <c r="S185">
        <v>183.7</v>
      </c>
      <c r="T185">
        <v>218.846</v>
      </c>
      <c r="U185">
        <v>342.99799999999999</v>
      </c>
      <c r="V185">
        <v>370.11399999999998</v>
      </c>
      <c r="W185">
        <v>275.61900000000003</v>
      </c>
      <c r="X185">
        <v>240.69900000000001</v>
      </c>
      <c r="Y185">
        <v>334.36599999999999</v>
      </c>
      <c r="Z185">
        <v>491.15899999999999</v>
      </c>
      <c r="AA185">
        <v>0.48499999999999999</v>
      </c>
      <c r="AB185">
        <v>742</v>
      </c>
      <c r="AC185">
        <v>428.3</v>
      </c>
      <c r="AD185">
        <v>408.3</v>
      </c>
      <c r="AE185">
        <v>265</v>
      </c>
      <c r="AF185">
        <v>0.19</v>
      </c>
      <c r="AG185">
        <v>406.2</v>
      </c>
      <c r="AH185">
        <v>0.42599999999999999</v>
      </c>
      <c r="AI185">
        <v>0.68700000000000006</v>
      </c>
      <c r="AJ185">
        <v>141.30000000000001</v>
      </c>
      <c r="AK185">
        <v>11.14</v>
      </c>
      <c r="AL185">
        <v>144.80000000000001</v>
      </c>
      <c r="AM185">
        <v>40.67069</v>
      </c>
      <c r="AN185">
        <v>-85.869129999999998</v>
      </c>
      <c r="AO185">
        <v>225.2</v>
      </c>
      <c r="AP185">
        <v>197</v>
      </c>
      <c r="AQ185">
        <v>8.56</v>
      </c>
      <c r="AR185">
        <v>-113.3</v>
      </c>
      <c r="AS185">
        <v>11.9</v>
      </c>
      <c r="AT185">
        <v>0</v>
      </c>
      <c r="AU185">
        <v>27.565000000000001</v>
      </c>
      <c r="AV185">
        <v>4.12</v>
      </c>
      <c r="AW185">
        <v>0</v>
      </c>
      <c r="AX185">
        <v>-85.870116289999999</v>
      </c>
      <c r="AY185">
        <v>40.67062026</v>
      </c>
      <c r="AZ185">
        <f t="shared" si="9"/>
        <v>7</v>
      </c>
      <c r="BA185">
        <f t="shared" si="10"/>
        <v>31</v>
      </c>
      <c r="BB185">
        <f t="shared" si="11"/>
        <v>2024</v>
      </c>
      <c r="BD185" s="19">
        <v>45504</v>
      </c>
    </row>
    <row r="186" spans="1:56" x14ac:dyDescent="0.25">
      <c r="A186" s="25">
        <v>10451</v>
      </c>
      <c r="B186" t="s">
        <v>590</v>
      </c>
      <c r="C186" t="s">
        <v>590</v>
      </c>
      <c r="D186" s="27" t="s">
        <v>459</v>
      </c>
      <c r="E186" s="27">
        <v>4</v>
      </c>
      <c r="F186" s="56"/>
      <c r="G186">
        <v>10891</v>
      </c>
      <c r="H186" t="s">
        <v>17</v>
      </c>
      <c r="I186" t="s">
        <v>8</v>
      </c>
      <c r="J186">
        <v>0</v>
      </c>
      <c r="K186">
        <v>0.83699999999999997</v>
      </c>
      <c r="L186">
        <v>0</v>
      </c>
      <c r="N186" s="41">
        <v>0.15</v>
      </c>
      <c r="O186">
        <v>5.4933333333333332</v>
      </c>
      <c r="P186">
        <v>7.580000000000001</v>
      </c>
      <c r="Q186">
        <v>2.5024794634219298</v>
      </c>
      <c r="R186">
        <v>0.62604121607835139</v>
      </c>
      <c r="S186">
        <v>186.07400000000001</v>
      </c>
      <c r="T186">
        <v>226.77199999999999</v>
      </c>
      <c r="U186">
        <v>344.74</v>
      </c>
      <c r="V186">
        <v>366.99099999999999</v>
      </c>
      <c r="W186">
        <v>269.41699999999997</v>
      </c>
      <c r="X186">
        <v>253.66900000000001</v>
      </c>
      <c r="Y186">
        <v>325.428</v>
      </c>
      <c r="Z186">
        <v>529.79999999999995</v>
      </c>
      <c r="AA186">
        <v>0.52500000000000002</v>
      </c>
      <c r="AB186">
        <v>741.8</v>
      </c>
      <c r="AC186">
        <v>433.6</v>
      </c>
      <c r="AD186">
        <v>414.9</v>
      </c>
      <c r="AE186">
        <v>270</v>
      </c>
      <c r="AF186">
        <v>0.2</v>
      </c>
      <c r="AG186">
        <v>412.9</v>
      </c>
      <c r="AH186">
        <v>0.497</v>
      </c>
      <c r="AI186">
        <v>0.74399999999999999</v>
      </c>
      <c r="AJ186">
        <v>139.9</v>
      </c>
      <c r="AK186">
        <v>11.06</v>
      </c>
      <c r="AL186">
        <v>143.30000000000001</v>
      </c>
      <c r="AM186">
        <v>40.66281</v>
      </c>
      <c r="AN186">
        <v>-85.865970000000004</v>
      </c>
      <c r="AO186">
        <v>223.3</v>
      </c>
      <c r="AP186">
        <v>200.2</v>
      </c>
      <c r="AQ186">
        <v>8.5500000000000007</v>
      </c>
      <c r="AR186">
        <v>-112.9</v>
      </c>
      <c r="AS186">
        <v>11.9</v>
      </c>
      <c r="AT186">
        <v>0</v>
      </c>
      <c r="AU186">
        <v>27.361000000000001</v>
      </c>
      <c r="AV186">
        <v>4.41</v>
      </c>
      <c r="AW186">
        <v>0</v>
      </c>
      <c r="AX186">
        <v>-85.866443680000003</v>
      </c>
      <c r="AY186">
        <v>40.663147299999999</v>
      </c>
      <c r="AZ186">
        <f t="shared" si="9"/>
        <v>7</v>
      </c>
      <c r="BA186">
        <f t="shared" si="10"/>
        <v>31</v>
      </c>
      <c r="BB186">
        <f t="shared" si="11"/>
        <v>2024</v>
      </c>
      <c r="BD186" s="19">
        <v>45504</v>
      </c>
    </row>
    <row r="187" spans="1:56" x14ac:dyDescent="0.25">
      <c r="A187" s="25">
        <v>10452</v>
      </c>
      <c r="B187" t="s">
        <v>591</v>
      </c>
      <c r="C187" t="s">
        <v>591</v>
      </c>
      <c r="D187" s="27" t="s">
        <v>460</v>
      </c>
      <c r="E187" s="27">
        <v>5</v>
      </c>
      <c r="F187" s="56"/>
      <c r="G187">
        <v>12821</v>
      </c>
      <c r="H187" t="s">
        <v>17</v>
      </c>
      <c r="I187" t="s">
        <v>8</v>
      </c>
      <c r="J187">
        <v>3.9100000000000003E-2</v>
      </c>
      <c r="K187">
        <v>0.70899999999999996</v>
      </c>
      <c r="L187">
        <v>4.0000000000000001E-3</v>
      </c>
      <c r="M187">
        <v>0.05</v>
      </c>
      <c r="N187">
        <v>8.77959292077857E-2</v>
      </c>
      <c r="O187">
        <v>13.326666666666668</v>
      </c>
      <c r="P187">
        <v>20.836666666666666</v>
      </c>
      <c r="Q187">
        <v>2.585126858032984</v>
      </c>
      <c r="R187">
        <v>0.84109936747602521</v>
      </c>
      <c r="S187">
        <v>154.68899999999999</v>
      </c>
      <c r="T187">
        <v>197.351</v>
      </c>
      <c r="U187">
        <v>315.70800000000003</v>
      </c>
      <c r="V187">
        <v>338.98200000000003</v>
      </c>
      <c r="W187">
        <v>241.45099999999999</v>
      </c>
      <c r="X187">
        <v>226.45699999999999</v>
      </c>
      <c r="Y187">
        <v>318.12400000000002</v>
      </c>
      <c r="Z187">
        <v>559.70000000000005</v>
      </c>
      <c r="AA187">
        <v>0.53800000000000003</v>
      </c>
      <c r="AB187">
        <v>741.6</v>
      </c>
      <c r="AC187">
        <v>444.8</v>
      </c>
      <c r="AD187">
        <v>424.4</v>
      </c>
      <c r="AE187">
        <v>276</v>
      </c>
      <c r="AF187">
        <v>0.2</v>
      </c>
      <c r="AG187">
        <v>422.2</v>
      </c>
      <c r="AH187">
        <v>0.55100000000000005</v>
      </c>
      <c r="AI187">
        <v>0.76200000000000001</v>
      </c>
      <c r="AJ187">
        <v>137</v>
      </c>
      <c r="AK187">
        <v>10.8</v>
      </c>
      <c r="AL187">
        <v>140.4</v>
      </c>
      <c r="AM187">
        <v>40.668909999999997</v>
      </c>
      <c r="AN187">
        <v>-85.84742</v>
      </c>
      <c r="AO187">
        <v>226.1</v>
      </c>
      <c r="AP187">
        <v>103.4</v>
      </c>
      <c r="AQ187">
        <v>8.5</v>
      </c>
      <c r="AR187">
        <v>-109.9</v>
      </c>
      <c r="AS187">
        <v>11.9</v>
      </c>
      <c r="AT187">
        <v>0</v>
      </c>
      <c r="AU187">
        <v>27.527999999999999</v>
      </c>
      <c r="AV187">
        <v>5.54</v>
      </c>
      <c r="AW187">
        <v>0</v>
      </c>
      <c r="AX187">
        <v>-85.847722300000001</v>
      </c>
      <c r="AY187">
        <v>40.668686630000003</v>
      </c>
      <c r="AZ187">
        <f t="shared" si="9"/>
        <v>7</v>
      </c>
      <c r="BA187">
        <f t="shared" si="10"/>
        <v>31</v>
      </c>
      <c r="BB187">
        <f t="shared" si="11"/>
        <v>2024</v>
      </c>
      <c r="BD187" s="19">
        <v>45504</v>
      </c>
    </row>
    <row r="188" spans="1:56" x14ac:dyDescent="0.25">
      <c r="A188" s="25">
        <v>10453</v>
      </c>
      <c r="B188" t="s">
        <v>592</v>
      </c>
      <c r="C188" t="s">
        <v>592</v>
      </c>
      <c r="D188" s="27" t="s">
        <v>461</v>
      </c>
      <c r="E188" s="27">
        <v>6</v>
      </c>
      <c r="F188" s="56"/>
      <c r="G188">
        <v>14351</v>
      </c>
      <c r="H188" t="s">
        <v>17</v>
      </c>
      <c r="I188" t="s">
        <v>8</v>
      </c>
      <c r="J188">
        <v>9.06E-2</v>
      </c>
      <c r="K188">
        <v>0.69</v>
      </c>
      <c r="L188">
        <v>6.0000000000000001E-3</v>
      </c>
      <c r="M188">
        <v>0.05</v>
      </c>
      <c r="N188">
        <v>0.34371314295176802</v>
      </c>
      <c r="O188">
        <v>12.649999999999999</v>
      </c>
      <c r="P188">
        <v>20.07</v>
      </c>
      <c r="Q188">
        <v>2.523791055743017</v>
      </c>
      <c r="R188">
        <v>0.75091369108345241</v>
      </c>
      <c r="S188">
        <v>153.16399999999999</v>
      </c>
      <c r="T188">
        <v>208.56</v>
      </c>
      <c r="U188">
        <v>337.90800000000002</v>
      </c>
      <c r="V188">
        <v>374.96199999999999</v>
      </c>
      <c r="W188">
        <v>257.35300000000001</v>
      </c>
      <c r="X188">
        <v>244.905</v>
      </c>
      <c r="Y188">
        <v>342.30500000000001</v>
      </c>
      <c r="Z188">
        <v>526.12</v>
      </c>
      <c r="AA188">
        <v>0.5</v>
      </c>
      <c r="AB188">
        <v>740.6</v>
      </c>
      <c r="AC188">
        <v>445.7</v>
      </c>
      <c r="AD188">
        <v>423.1</v>
      </c>
      <c r="AE188">
        <v>275</v>
      </c>
      <c r="AF188">
        <v>0.2</v>
      </c>
      <c r="AG188">
        <v>420.7</v>
      </c>
      <c r="AH188">
        <v>0.5</v>
      </c>
      <c r="AI188">
        <v>0.70799999999999996</v>
      </c>
      <c r="AJ188">
        <v>147.4</v>
      </c>
      <c r="AK188">
        <v>11.57</v>
      </c>
      <c r="AL188">
        <v>151</v>
      </c>
      <c r="AM188">
        <v>40.673699999999997</v>
      </c>
      <c r="AN188">
        <v>-85.831569999999999</v>
      </c>
      <c r="AO188">
        <v>225.9</v>
      </c>
      <c r="AP188">
        <v>172.7</v>
      </c>
      <c r="AQ188">
        <v>8.57</v>
      </c>
      <c r="AR188">
        <v>-114.1</v>
      </c>
      <c r="AS188">
        <v>11.9</v>
      </c>
      <c r="AT188">
        <v>0</v>
      </c>
      <c r="AU188">
        <v>27.795999999999999</v>
      </c>
      <c r="AV188">
        <v>5.81</v>
      </c>
      <c r="AW188">
        <v>0</v>
      </c>
      <c r="AX188">
        <v>-85.831848600000001</v>
      </c>
      <c r="AY188">
        <v>40.673695629999997</v>
      </c>
      <c r="AZ188">
        <f t="shared" si="9"/>
        <v>7</v>
      </c>
      <c r="BA188">
        <f t="shared" si="10"/>
        <v>31</v>
      </c>
      <c r="BB188">
        <f t="shared" si="11"/>
        <v>2024</v>
      </c>
      <c r="BD188" s="19">
        <v>45504</v>
      </c>
    </row>
    <row r="189" spans="1:56" x14ac:dyDescent="0.25">
      <c r="A189" s="25">
        <v>10454</v>
      </c>
      <c r="B189" t="s">
        <v>593</v>
      </c>
      <c r="C189" t="s">
        <v>593</v>
      </c>
      <c r="D189" s="27" t="s">
        <v>462</v>
      </c>
      <c r="E189" s="27">
        <v>7</v>
      </c>
      <c r="F189" s="56"/>
      <c r="G189">
        <v>6411</v>
      </c>
      <c r="H189" t="s">
        <v>17</v>
      </c>
      <c r="I189" t="s">
        <v>8</v>
      </c>
      <c r="J189">
        <v>1.6000000000000001E-3</v>
      </c>
      <c r="K189">
        <v>1.04</v>
      </c>
      <c r="L189">
        <v>-4.0000000000000001E-3</v>
      </c>
      <c r="M189">
        <v>0.05</v>
      </c>
      <c r="N189" s="41">
        <v>0.15</v>
      </c>
      <c r="O189">
        <v>12.0375</v>
      </c>
      <c r="P189">
        <v>17.862499999999997</v>
      </c>
      <c r="Q189">
        <v>2.4588166889104244</v>
      </c>
      <c r="R189">
        <v>0.66861756104196424</v>
      </c>
      <c r="S189">
        <v>174.334</v>
      </c>
      <c r="T189">
        <v>201.387</v>
      </c>
      <c r="U189">
        <v>330.42099999999999</v>
      </c>
      <c r="V189">
        <v>361.07499999999999</v>
      </c>
      <c r="W189">
        <v>255.08699999999999</v>
      </c>
      <c r="X189">
        <v>227.13</v>
      </c>
      <c r="Y189">
        <v>275.709</v>
      </c>
      <c r="Z189">
        <v>490.36500000000001</v>
      </c>
      <c r="AA189">
        <v>0.5</v>
      </c>
      <c r="AB189">
        <v>740.3</v>
      </c>
      <c r="AC189">
        <v>427.5</v>
      </c>
      <c r="AD189">
        <v>409</v>
      </c>
      <c r="AE189">
        <v>266</v>
      </c>
      <c r="AF189">
        <v>0.19</v>
      </c>
      <c r="AG189">
        <v>407</v>
      </c>
      <c r="AH189">
        <v>0.49299999999999999</v>
      </c>
      <c r="AI189">
        <v>0.70799999999999996</v>
      </c>
      <c r="AJ189">
        <v>131</v>
      </c>
      <c r="AK189">
        <v>10.36</v>
      </c>
      <c r="AL189">
        <v>134.19999999999999</v>
      </c>
      <c r="AM189">
        <v>40.688220000000001</v>
      </c>
      <c r="AN189">
        <v>-85.896209999999996</v>
      </c>
      <c r="AO189">
        <v>222</v>
      </c>
      <c r="AP189">
        <v>193.1</v>
      </c>
      <c r="AQ189">
        <v>8.4700000000000006</v>
      </c>
      <c r="AR189">
        <v>-107.7</v>
      </c>
      <c r="AS189">
        <v>11.9</v>
      </c>
      <c r="AT189">
        <v>0</v>
      </c>
      <c r="AU189">
        <v>27.375</v>
      </c>
      <c r="AV189">
        <v>4.07</v>
      </c>
      <c r="AW189">
        <v>0</v>
      </c>
      <c r="AX189">
        <v>-85.896255859999997</v>
      </c>
      <c r="AY189">
        <v>40.688228729999999</v>
      </c>
      <c r="AZ189">
        <f t="shared" si="9"/>
        <v>7</v>
      </c>
      <c r="BA189">
        <f t="shared" si="10"/>
        <v>31</v>
      </c>
      <c r="BB189">
        <f t="shared" si="11"/>
        <v>2024</v>
      </c>
      <c r="BD189" s="19">
        <v>45504</v>
      </c>
    </row>
    <row r="190" spans="1:56" x14ac:dyDescent="0.25">
      <c r="A190" s="25">
        <v>10455</v>
      </c>
      <c r="B190" t="s">
        <v>594</v>
      </c>
      <c r="C190" t="s">
        <v>594</v>
      </c>
      <c r="D190" s="27" t="s">
        <v>463</v>
      </c>
      <c r="E190" s="27">
        <v>8</v>
      </c>
      <c r="F190" s="56"/>
      <c r="G190">
        <v>5401</v>
      </c>
      <c r="H190" t="s">
        <v>17</v>
      </c>
      <c r="I190" t="s">
        <v>8</v>
      </c>
      <c r="J190">
        <v>-2.9999999999999997E-4</v>
      </c>
      <c r="K190">
        <v>1.1379999999999999</v>
      </c>
      <c r="L190">
        <v>-4.0000000000000001E-3</v>
      </c>
      <c r="M190">
        <v>0.05</v>
      </c>
      <c r="N190">
        <v>5.6445123686393921E-2</v>
      </c>
      <c r="O190">
        <v>2.9299999999999997</v>
      </c>
      <c r="P190">
        <v>4.47</v>
      </c>
      <c r="Q190">
        <v>2.4674799378214369</v>
      </c>
      <c r="R190">
        <v>0.98555968169761277</v>
      </c>
      <c r="S190">
        <v>209.631</v>
      </c>
      <c r="T190">
        <v>268.05900000000003</v>
      </c>
      <c r="U190">
        <v>407.928</v>
      </c>
      <c r="V190">
        <v>448.68299999999999</v>
      </c>
      <c r="W190">
        <v>311.74799999999999</v>
      </c>
      <c r="X190">
        <v>301.322</v>
      </c>
      <c r="Y190">
        <v>336.875</v>
      </c>
      <c r="Z190">
        <v>567.173</v>
      </c>
      <c r="AA190">
        <v>0.53400000000000003</v>
      </c>
      <c r="AB190">
        <v>740.2</v>
      </c>
      <c r="AC190">
        <v>424.7</v>
      </c>
      <c r="AD190">
        <v>406.9</v>
      </c>
      <c r="AE190">
        <v>264</v>
      </c>
      <c r="AF190">
        <v>0.19</v>
      </c>
      <c r="AG190">
        <v>405</v>
      </c>
      <c r="AH190">
        <v>0.53400000000000003</v>
      </c>
      <c r="AI190">
        <v>0.75600000000000001</v>
      </c>
      <c r="AJ190">
        <v>129.80000000000001</v>
      </c>
      <c r="AK190">
        <v>10.28</v>
      </c>
      <c r="AL190">
        <v>133</v>
      </c>
      <c r="AM190">
        <v>40.691789999999997</v>
      </c>
      <c r="AN190">
        <v>-85.908280000000005</v>
      </c>
      <c r="AO190">
        <v>222.9</v>
      </c>
      <c r="AP190">
        <v>149.80000000000001</v>
      </c>
      <c r="AQ190">
        <v>8.4700000000000006</v>
      </c>
      <c r="AR190">
        <v>-108</v>
      </c>
      <c r="AS190">
        <v>11.9</v>
      </c>
      <c r="AT190">
        <v>0</v>
      </c>
      <c r="AU190">
        <v>27.294</v>
      </c>
      <c r="AV190">
        <v>3.76</v>
      </c>
      <c r="AW190">
        <v>0</v>
      </c>
      <c r="AX190">
        <v>-85.908045490000006</v>
      </c>
      <c r="AY190">
        <v>40.691769909999998</v>
      </c>
      <c r="AZ190">
        <f t="shared" si="9"/>
        <v>7</v>
      </c>
      <c r="BA190">
        <f t="shared" si="10"/>
        <v>31</v>
      </c>
      <c r="BB190">
        <f t="shared" si="11"/>
        <v>2024</v>
      </c>
      <c r="BD190" s="19">
        <v>45504</v>
      </c>
    </row>
    <row r="191" spans="1:56" x14ac:dyDescent="0.25">
      <c r="A191" s="25">
        <v>10456</v>
      </c>
      <c r="B191" t="s">
        <v>595</v>
      </c>
      <c r="C191" t="s">
        <v>595</v>
      </c>
      <c r="D191" s="27" t="s">
        <v>464</v>
      </c>
      <c r="E191" s="27">
        <v>9</v>
      </c>
      <c r="F191" s="56"/>
      <c r="G191">
        <v>4381</v>
      </c>
      <c r="H191" t="s">
        <v>17</v>
      </c>
      <c r="I191" t="s">
        <v>8</v>
      </c>
      <c r="J191">
        <v>3.3E-3</v>
      </c>
      <c r="K191">
        <v>1.1120000000000001</v>
      </c>
      <c r="L191">
        <v>-4.0000000000000001E-3</v>
      </c>
      <c r="M191">
        <v>0.33090101522842641</v>
      </c>
      <c r="N191" s="41">
        <v>0.15</v>
      </c>
      <c r="O191">
        <v>4.4766666666666666</v>
      </c>
      <c r="P191">
        <v>7.5433333333333339</v>
      </c>
      <c r="Q191">
        <v>2.49104397485939</v>
      </c>
      <c r="R191">
        <v>1.0104525607018977</v>
      </c>
      <c r="S191">
        <v>196.13800000000001</v>
      </c>
      <c r="T191">
        <v>278.54599999999999</v>
      </c>
      <c r="U191">
        <v>423.97899999999998</v>
      </c>
      <c r="V191">
        <v>474.42500000000001</v>
      </c>
      <c r="W191">
        <v>325.35500000000002</v>
      </c>
      <c r="X191">
        <v>315.23399999999998</v>
      </c>
      <c r="Y191">
        <v>340.61700000000002</v>
      </c>
      <c r="Z191">
        <v>537.11400000000003</v>
      </c>
      <c r="AA191">
        <v>0.51700000000000002</v>
      </c>
      <c r="AB191">
        <v>740.5</v>
      </c>
      <c r="AC191">
        <v>423.6</v>
      </c>
      <c r="AD191">
        <v>403</v>
      </c>
      <c r="AE191">
        <v>262</v>
      </c>
      <c r="AF191">
        <v>0.19</v>
      </c>
      <c r="AG191">
        <v>400.8</v>
      </c>
      <c r="AH191">
        <v>0.53100000000000003</v>
      </c>
      <c r="AI191">
        <v>0.73299999999999998</v>
      </c>
      <c r="AJ191">
        <v>135.5</v>
      </c>
      <c r="AK191">
        <v>10.65</v>
      </c>
      <c r="AL191">
        <v>138.80000000000001</v>
      </c>
      <c r="AM191">
        <v>40.704279999999997</v>
      </c>
      <c r="AN191">
        <v>-85.929820000000007</v>
      </c>
      <c r="AO191">
        <v>225.4</v>
      </c>
      <c r="AP191">
        <v>170.8</v>
      </c>
      <c r="AQ191">
        <v>8.52</v>
      </c>
      <c r="AR191">
        <v>-111</v>
      </c>
      <c r="AS191">
        <v>12</v>
      </c>
      <c r="AT191">
        <v>0</v>
      </c>
      <c r="AU191">
        <v>27.678000000000001</v>
      </c>
      <c r="AV191">
        <v>4.4800000000000004</v>
      </c>
      <c r="AW191">
        <v>0</v>
      </c>
      <c r="AX191">
        <v>-85.929936429999998</v>
      </c>
      <c r="AY191">
        <v>40.704245139999998</v>
      </c>
      <c r="AZ191">
        <f t="shared" si="9"/>
        <v>7</v>
      </c>
      <c r="BA191">
        <f t="shared" si="10"/>
        <v>31</v>
      </c>
      <c r="BB191">
        <f t="shared" si="11"/>
        <v>2024</v>
      </c>
      <c r="BD191" s="19">
        <v>45504</v>
      </c>
    </row>
    <row r="192" spans="1:56" x14ac:dyDescent="0.25">
      <c r="A192" s="25">
        <v>10457</v>
      </c>
      <c r="B192" t="s">
        <v>596</v>
      </c>
      <c r="C192" t="s">
        <v>596</v>
      </c>
      <c r="D192" s="27" t="s">
        <v>465</v>
      </c>
      <c r="E192" s="27">
        <v>10</v>
      </c>
      <c r="F192" s="56"/>
      <c r="G192">
        <v>2851</v>
      </c>
      <c r="H192" t="s">
        <v>17</v>
      </c>
      <c r="I192" t="s">
        <v>8</v>
      </c>
      <c r="J192">
        <v>-4.5999999999999999E-3</v>
      </c>
      <c r="K192">
        <v>1.1020000000000001</v>
      </c>
      <c r="L192">
        <v>-3.0000000000000001E-3</v>
      </c>
      <c r="M192">
        <v>1.0748730964467008</v>
      </c>
      <c r="N192" s="41">
        <v>0.15</v>
      </c>
      <c r="O192">
        <v>8.82</v>
      </c>
      <c r="P192">
        <v>14.965</v>
      </c>
      <c r="Q192">
        <v>2.638145941368379</v>
      </c>
      <c r="R192">
        <v>1.0020869210365231</v>
      </c>
      <c r="S192">
        <v>217.255</v>
      </c>
      <c r="T192">
        <v>279.26299999999998</v>
      </c>
      <c r="U192">
        <v>414.24200000000002</v>
      </c>
      <c r="V192">
        <v>457.37700000000001</v>
      </c>
      <c r="W192">
        <v>320.96699999999998</v>
      </c>
      <c r="X192">
        <v>316.34300000000002</v>
      </c>
      <c r="Y192">
        <v>341.315</v>
      </c>
      <c r="Z192">
        <v>582.01400000000001</v>
      </c>
      <c r="AA192" t="s">
        <v>705</v>
      </c>
      <c r="AB192">
        <v>740.4</v>
      </c>
      <c r="AC192">
        <v>425.9</v>
      </c>
      <c r="AD192">
        <v>407.4</v>
      </c>
      <c r="AE192">
        <v>265</v>
      </c>
      <c r="AF192">
        <v>0.19</v>
      </c>
      <c r="AG192">
        <v>405.4</v>
      </c>
      <c r="AH192">
        <v>0.505</v>
      </c>
      <c r="AI192">
        <v>0.72299999999999998</v>
      </c>
      <c r="AJ192">
        <v>132.80000000000001</v>
      </c>
      <c r="AK192">
        <v>10.5</v>
      </c>
      <c r="AL192">
        <v>136</v>
      </c>
      <c r="AM192">
        <v>40.693429999999999</v>
      </c>
      <c r="AN192">
        <v>-85.920090000000002</v>
      </c>
      <c r="AO192">
        <v>227.6</v>
      </c>
      <c r="AP192">
        <v>168</v>
      </c>
      <c r="AQ192">
        <v>8.5</v>
      </c>
      <c r="AR192">
        <v>-109.7</v>
      </c>
      <c r="AS192">
        <v>11.9</v>
      </c>
      <c r="AT192">
        <v>0</v>
      </c>
      <c r="AU192">
        <v>27.381</v>
      </c>
      <c r="AV192">
        <v>3.82</v>
      </c>
      <c r="AW192">
        <v>0</v>
      </c>
      <c r="AX192">
        <v>-85.920207149999996</v>
      </c>
      <c r="AY192">
        <v>40.693404710000003</v>
      </c>
      <c r="AZ192">
        <f t="shared" si="9"/>
        <v>7</v>
      </c>
      <c r="BA192">
        <f t="shared" si="10"/>
        <v>31</v>
      </c>
      <c r="BB192">
        <f t="shared" si="11"/>
        <v>2024</v>
      </c>
      <c r="BD192" s="19">
        <v>45504</v>
      </c>
    </row>
    <row r="193" spans="1:56" x14ac:dyDescent="0.25">
      <c r="A193" s="25">
        <v>10458</v>
      </c>
      <c r="B193" t="s">
        <v>597</v>
      </c>
      <c r="C193" t="s">
        <v>597</v>
      </c>
      <c r="D193" s="27" t="s">
        <v>466</v>
      </c>
      <c r="E193" s="27">
        <v>11</v>
      </c>
      <c r="F193" s="56"/>
      <c r="G193">
        <v>1731</v>
      </c>
      <c r="H193" t="s">
        <v>17</v>
      </c>
      <c r="I193" t="s">
        <v>8</v>
      </c>
      <c r="J193">
        <v>-4.1000000000000003E-3</v>
      </c>
      <c r="K193">
        <v>1.167</v>
      </c>
      <c r="L193">
        <v>-2E-3</v>
      </c>
      <c r="M193">
        <v>0.05</v>
      </c>
      <c r="N193" s="41">
        <v>0.15</v>
      </c>
      <c r="O193">
        <v>8.1433333333333326</v>
      </c>
      <c r="P193">
        <v>11.76</v>
      </c>
      <c r="Q193">
        <v>2.4177528890722266</v>
      </c>
      <c r="R193">
        <v>0.95699408284023668</v>
      </c>
      <c r="S193">
        <v>206.40100000000001</v>
      </c>
      <c r="T193">
        <v>267.863</v>
      </c>
      <c r="U193">
        <v>415.12299999999999</v>
      </c>
      <c r="V193">
        <v>461.45699999999999</v>
      </c>
      <c r="W193">
        <v>318.94200000000001</v>
      </c>
      <c r="X193">
        <v>299.48500000000001</v>
      </c>
      <c r="Y193">
        <v>330.57</v>
      </c>
      <c r="Z193">
        <v>530.96</v>
      </c>
      <c r="AA193">
        <v>0.5</v>
      </c>
      <c r="AB193">
        <v>740.6</v>
      </c>
      <c r="AC193">
        <v>423.6</v>
      </c>
      <c r="AD193">
        <v>404.9</v>
      </c>
      <c r="AE193">
        <v>263</v>
      </c>
      <c r="AF193">
        <v>0.19</v>
      </c>
      <c r="AG193">
        <v>402.9</v>
      </c>
      <c r="AH193">
        <v>0.47899999999999998</v>
      </c>
      <c r="AI193">
        <v>0.70899999999999996</v>
      </c>
      <c r="AJ193">
        <v>130</v>
      </c>
      <c r="AK193">
        <v>10.27</v>
      </c>
      <c r="AL193">
        <v>133.19999999999999</v>
      </c>
      <c r="AM193">
        <v>40.710999999999999</v>
      </c>
      <c r="AN193">
        <v>-85.938310000000001</v>
      </c>
      <c r="AO193">
        <v>224.5</v>
      </c>
      <c r="AP193">
        <v>194</v>
      </c>
      <c r="AQ193">
        <v>8.49</v>
      </c>
      <c r="AR193">
        <v>-108.8</v>
      </c>
      <c r="AS193">
        <v>12</v>
      </c>
      <c r="AT193">
        <v>0</v>
      </c>
      <c r="AU193">
        <v>27.407</v>
      </c>
      <c r="AV193">
        <v>4.0599999999999996</v>
      </c>
      <c r="AW193">
        <v>0</v>
      </c>
      <c r="AX193">
        <v>-85.938439169999995</v>
      </c>
      <c r="AY193">
        <v>40.710934469999998</v>
      </c>
      <c r="AZ193">
        <f t="shared" si="9"/>
        <v>7</v>
      </c>
      <c r="BA193">
        <f t="shared" si="10"/>
        <v>31</v>
      </c>
      <c r="BB193">
        <f t="shared" si="11"/>
        <v>2024</v>
      </c>
      <c r="BD193" s="19">
        <v>45504</v>
      </c>
    </row>
    <row r="194" spans="1:56" x14ac:dyDescent="0.25">
      <c r="A194" s="25">
        <v>10459</v>
      </c>
      <c r="B194" t="s">
        <v>598</v>
      </c>
      <c r="C194" t="s">
        <v>598</v>
      </c>
      <c r="D194" s="27" t="s">
        <v>467</v>
      </c>
      <c r="E194" s="27">
        <v>12</v>
      </c>
      <c r="F194" s="56"/>
      <c r="G194">
        <v>661</v>
      </c>
      <c r="H194" t="s">
        <v>17</v>
      </c>
      <c r="I194" t="s">
        <v>8</v>
      </c>
      <c r="J194">
        <v>4.5999999999999999E-3</v>
      </c>
      <c r="K194">
        <v>1.091</v>
      </c>
      <c r="L194">
        <v>-1E-3</v>
      </c>
      <c r="M194">
        <v>0.05</v>
      </c>
      <c r="N194" s="41">
        <v>0.15</v>
      </c>
      <c r="O194">
        <v>2.3233333333333337</v>
      </c>
      <c r="P194">
        <v>3.22</v>
      </c>
      <c r="Q194">
        <v>2.3798078588419926</v>
      </c>
      <c r="R194">
        <v>0.97168496225260148</v>
      </c>
      <c r="AA194">
        <v>0.49199999999999999</v>
      </c>
      <c r="AB194">
        <v>741.1</v>
      </c>
      <c r="AC194">
        <v>447.3</v>
      </c>
      <c r="AD194">
        <v>426.4</v>
      </c>
      <c r="AE194">
        <v>277</v>
      </c>
      <c r="AF194">
        <v>0.2</v>
      </c>
      <c r="AG194">
        <v>424.1</v>
      </c>
      <c r="AH194">
        <v>0.48099999999999998</v>
      </c>
      <c r="AI194">
        <v>0.69699999999999995</v>
      </c>
      <c r="AJ194">
        <v>138.6</v>
      </c>
      <c r="AK194">
        <v>10.92</v>
      </c>
      <c r="AL194">
        <v>142</v>
      </c>
      <c r="AM194">
        <v>40.672530000000002</v>
      </c>
      <c r="AN194">
        <v>-85.841099999999997</v>
      </c>
      <c r="AO194">
        <v>226.9</v>
      </c>
      <c r="AP194">
        <v>179.3</v>
      </c>
      <c r="AQ194">
        <v>8.52</v>
      </c>
      <c r="AR194">
        <v>-111</v>
      </c>
      <c r="AS194">
        <v>11.9</v>
      </c>
      <c r="AT194">
        <v>0</v>
      </c>
      <c r="AU194">
        <v>27.574999999999999</v>
      </c>
      <c r="AV194">
        <v>6.09</v>
      </c>
      <c r="AW194">
        <v>0</v>
      </c>
      <c r="AX194">
        <v>-85.841071389999996</v>
      </c>
      <c r="AY194">
        <v>40.672590999999997</v>
      </c>
      <c r="AZ194">
        <f t="shared" si="9"/>
        <v>7</v>
      </c>
      <c r="BA194">
        <f t="shared" si="10"/>
        <v>31</v>
      </c>
      <c r="BB194">
        <f t="shared" si="11"/>
        <v>2024</v>
      </c>
      <c r="BD194" s="19">
        <v>45504</v>
      </c>
    </row>
    <row r="195" spans="1:56" x14ac:dyDescent="0.25">
      <c r="A195" s="25">
        <v>10460</v>
      </c>
      <c r="B195" t="s">
        <v>599</v>
      </c>
      <c r="C195" t="s">
        <v>599</v>
      </c>
      <c r="D195" s="27" t="s">
        <v>468</v>
      </c>
      <c r="E195" s="27">
        <v>13</v>
      </c>
      <c r="F195" s="56"/>
      <c r="G195">
        <v>13553</v>
      </c>
      <c r="H195" t="s">
        <v>17</v>
      </c>
      <c r="I195" t="s">
        <v>8</v>
      </c>
      <c r="J195">
        <v>1.61E-2</v>
      </c>
      <c r="K195">
        <v>0.72799999999999998</v>
      </c>
      <c r="L195">
        <v>0</v>
      </c>
      <c r="M195">
        <v>0.19447969543147209</v>
      </c>
      <c r="N195" s="41">
        <v>0.15</v>
      </c>
      <c r="O195">
        <v>6.02</v>
      </c>
      <c r="P195">
        <v>8.67</v>
      </c>
      <c r="Q195">
        <v>2.5903248073795915</v>
      </c>
      <c r="R195">
        <v>0.56863796504114805</v>
      </c>
      <c r="S195">
        <v>158.00299999999999</v>
      </c>
      <c r="T195">
        <v>210.34</v>
      </c>
      <c r="U195">
        <v>334.02</v>
      </c>
      <c r="V195">
        <v>366.13499999999999</v>
      </c>
      <c r="W195">
        <v>250.458</v>
      </c>
      <c r="X195">
        <v>239.07</v>
      </c>
      <c r="Y195">
        <v>335.07100000000003</v>
      </c>
      <c r="Z195">
        <v>535.70299999999997</v>
      </c>
      <c r="AA195">
        <v>0.49199999999999999</v>
      </c>
      <c r="AB195">
        <v>741.1</v>
      </c>
      <c r="AC195">
        <v>447.3</v>
      </c>
      <c r="AD195">
        <v>426.4</v>
      </c>
      <c r="AE195">
        <v>277</v>
      </c>
      <c r="AF195">
        <v>0.2</v>
      </c>
      <c r="AG195">
        <v>424.1</v>
      </c>
      <c r="AH195">
        <v>0.48099999999999998</v>
      </c>
      <c r="AI195">
        <v>0.69699999999999995</v>
      </c>
      <c r="AJ195">
        <v>138.6</v>
      </c>
      <c r="AK195">
        <v>10.92</v>
      </c>
      <c r="AL195">
        <v>142</v>
      </c>
      <c r="AM195">
        <v>40.672530000000002</v>
      </c>
      <c r="AN195">
        <v>-85.841099999999997</v>
      </c>
      <c r="AO195">
        <v>226.9</v>
      </c>
      <c r="AP195">
        <v>179.3</v>
      </c>
      <c r="AQ195">
        <v>8.52</v>
      </c>
      <c r="AR195">
        <v>-111</v>
      </c>
      <c r="AS195">
        <v>11.9</v>
      </c>
      <c r="AT195">
        <v>0</v>
      </c>
      <c r="AU195">
        <v>27.574999999999999</v>
      </c>
      <c r="AV195">
        <v>6.09</v>
      </c>
      <c r="AW195">
        <v>0</v>
      </c>
      <c r="AX195">
        <v>-85.841521130000004</v>
      </c>
      <c r="AY195">
        <v>40.672565839999997</v>
      </c>
      <c r="AZ195">
        <f t="shared" si="9"/>
        <v>7</v>
      </c>
      <c r="BA195">
        <f t="shared" si="10"/>
        <v>31</v>
      </c>
      <c r="BB195">
        <f t="shared" si="11"/>
        <v>2024</v>
      </c>
      <c r="BD195" s="19">
        <v>45504</v>
      </c>
    </row>
    <row r="196" spans="1:56" x14ac:dyDescent="0.25">
      <c r="A196" s="25">
        <v>10461</v>
      </c>
      <c r="B196" t="s">
        <v>611</v>
      </c>
      <c r="C196" t="s">
        <v>611</v>
      </c>
      <c r="D196" s="27" t="s">
        <v>485</v>
      </c>
      <c r="E196" s="27">
        <v>1</v>
      </c>
      <c r="F196" s="58"/>
      <c r="G196">
        <v>5210</v>
      </c>
      <c r="H196" t="s">
        <v>19</v>
      </c>
      <c r="I196" t="s">
        <v>8</v>
      </c>
      <c r="J196">
        <v>-0.50160000000000005</v>
      </c>
      <c r="K196">
        <v>1.71</v>
      </c>
      <c r="L196">
        <v>1E-3</v>
      </c>
      <c r="M196">
        <v>0.05</v>
      </c>
      <c r="N196" s="71">
        <v>0.10470732159173468</v>
      </c>
      <c r="O196">
        <v>41.19</v>
      </c>
      <c r="P196">
        <v>25.786666666666665</v>
      </c>
      <c r="Q196">
        <v>3.7785760280140366</v>
      </c>
      <c r="R196">
        <v>1.4024133850234646</v>
      </c>
      <c r="S196">
        <v>306.822</v>
      </c>
      <c r="T196">
        <v>319.16800000000001</v>
      </c>
      <c r="U196">
        <v>385.50400000000002</v>
      </c>
      <c r="V196">
        <v>425.85199999999998</v>
      </c>
      <c r="W196">
        <v>331.54399999999998</v>
      </c>
      <c r="X196">
        <v>327.13099999999997</v>
      </c>
      <c r="Y196">
        <v>378.64299999999997</v>
      </c>
      <c r="Z196">
        <v>578.59199999999998</v>
      </c>
      <c r="AA196">
        <v>0.49</v>
      </c>
      <c r="AB196">
        <v>742.3</v>
      </c>
      <c r="AC196">
        <v>355.2</v>
      </c>
      <c r="AD196">
        <v>338</v>
      </c>
      <c r="AE196">
        <v>220</v>
      </c>
      <c r="AF196">
        <v>0.16</v>
      </c>
      <c r="AG196">
        <v>336.1</v>
      </c>
      <c r="AH196">
        <v>0.48899999999999999</v>
      </c>
      <c r="AI196">
        <v>0.69399999999999995</v>
      </c>
      <c r="AJ196">
        <v>155.1</v>
      </c>
      <c r="AK196">
        <v>12.2</v>
      </c>
      <c r="AL196">
        <v>158.30000000000001</v>
      </c>
      <c r="AM196">
        <v>40.772489999999998</v>
      </c>
      <c r="AN196">
        <v>-85.645139999999998</v>
      </c>
      <c r="AO196">
        <v>226.1</v>
      </c>
      <c r="AP196">
        <v>223.8</v>
      </c>
      <c r="AQ196">
        <v>8.56</v>
      </c>
      <c r="AR196">
        <v>-117.7</v>
      </c>
      <c r="AS196">
        <v>11.9</v>
      </c>
      <c r="AT196">
        <v>0</v>
      </c>
      <c r="AU196">
        <v>27.663</v>
      </c>
      <c r="AV196">
        <v>4.78</v>
      </c>
      <c r="AW196">
        <v>0</v>
      </c>
      <c r="AX196">
        <v>-85.645051519999996</v>
      </c>
      <c r="AY196">
        <v>40.772296269999998</v>
      </c>
      <c r="AZ196">
        <f t="shared" si="9"/>
        <v>8</v>
      </c>
      <c r="BA196">
        <f t="shared" si="10"/>
        <v>5</v>
      </c>
      <c r="BB196">
        <f t="shared" si="11"/>
        <v>2024</v>
      </c>
      <c r="BD196" s="19">
        <v>45509</v>
      </c>
    </row>
    <row r="197" spans="1:56" x14ac:dyDescent="0.25">
      <c r="A197" s="25">
        <v>10462</v>
      </c>
      <c r="B197" t="s">
        <v>612</v>
      </c>
      <c r="C197" t="s">
        <v>612</v>
      </c>
      <c r="D197" s="27" t="s">
        <v>486</v>
      </c>
      <c r="E197" s="27">
        <v>2</v>
      </c>
      <c r="F197" s="58"/>
      <c r="G197">
        <v>5430</v>
      </c>
      <c r="H197" t="s">
        <v>19</v>
      </c>
      <c r="I197" t="s">
        <v>8</v>
      </c>
      <c r="J197">
        <v>-0.50419999999999998</v>
      </c>
      <c r="K197">
        <v>1.716</v>
      </c>
      <c r="L197">
        <v>2E-3</v>
      </c>
      <c r="M197">
        <v>0.05</v>
      </c>
      <c r="N197" s="71">
        <v>8.1577581933841486E-2</v>
      </c>
      <c r="O197">
        <v>48.23</v>
      </c>
      <c r="P197">
        <v>32.366666666666667</v>
      </c>
      <c r="Q197">
        <v>3.5540246162405982</v>
      </c>
      <c r="R197">
        <v>1.3250822281167109</v>
      </c>
      <c r="S197">
        <v>294.39499999999998</v>
      </c>
      <c r="T197">
        <v>289.44099999999997</v>
      </c>
      <c r="U197">
        <v>379.92399999999998</v>
      </c>
      <c r="V197">
        <v>421.46300000000002</v>
      </c>
      <c r="W197">
        <v>320.85700000000003</v>
      </c>
      <c r="X197">
        <v>314.30799999999999</v>
      </c>
      <c r="Y197">
        <v>364.93900000000002</v>
      </c>
      <c r="Z197">
        <v>583.846</v>
      </c>
      <c r="AA197">
        <v>0.52</v>
      </c>
      <c r="AB197">
        <v>743.2</v>
      </c>
      <c r="AC197">
        <v>356.3</v>
      </c>
      <c r="AD197">
        <v>340</v>
      </c>
      <c r="AE197">
        <v>221</v>
      </c>
      <c r="AF197">
        <v>0.16</v>
      </c>
      <c r="AG197">
        <v>338.3</v>
      </c>
      <c r="AH197">
        <v>0.51300000000000001</v>
      </c>
      <c r="AI197">
        <v>0.73699999999999999</v>
      </c>
      <c r="AJ197">
        <v>149.69999999999999</v>
      </c>
      <c r="AK197">
        <v>11.81</v>
      </c>
      <c r="AL197">
        <v>152.80000000000001</v>
      </c>
      <c r="AM197">
        <v>40.770809999999997</v>
      </c>
      <c r="AN197">
        <v>-85.647069999999999</v>
      </c>
      <c r="AO197">
        <v>220.9</v>
      </c>
      <c r="AP197">
        <v>192.1</v>
      </c>
      <c r="AQ197">
        <v>8.64</v>
      </c>
      <c r="AR197">
        <v>-122.3</v>
      </c>
      <c r="AS197">
        <v>11.9</v>
      </c>
      <c r="AT197">
        <v>0</v>
      </c>
      <c r="AU197">
        <v>27.509</v>
      </c>
      <c r="AV197">
        <v>5.72</v>
      </c>
      <c r="AW197">
        <v>0</v>
      </c>
      <c r="AX197">
        <v>-85.647150420000003</v>
      </c>
      <c r="AY197">
        <v>40.770774430000003</v>
      </c>
      <c r="AZ197">
        <f t="shared" si="9"/>
        <v>8</v>
      </c>
      <c r="BA197">
        <f t="shared" si="10"/>
        <v>5</v>
      </c>
      <c r="BB197">
        <f t="shared" si="11"/>
        <v>2024</v>
      </c>
      <c r="BD197" s="19">
        <v>45509</v>
      </c>
    </row>
    <row r="198" spans="1:56" x14ac:dyDescent="0.25">
      <c r="A198" s="25">
        <v>10463</v>
      </c>
      <c r="B198" t="s">
        <v>613</v>
      </c>
      <c r="C198" t="s">
        <v>613</v>
      </c>
      <c r="D198" s="27" t="s">
        <v>487</v>
      </c>
      <c r="E198" s="27">
        <v>3</v>
      </c>
      <c r="F198" s="58"/>
      <c r="G198">
        <v>4180</v>
      </c>
      <c r="H198" t="s">
        <v>19</v>
      </c>
      <c r="I198" t="s">
        <v>8</v>
      </c>
      <c r="J198">
        <v>-0.51149999999999995</v>
      </c>
      <c r="K198">
        <v>1.859</v>
      </c>
      <c r="L198">
        <v>1E-3</v>
      </c>
      <c r="M198">
        <v>0.05</v>
      </c>
      <c r="N198" s="71">
        <v>7.6129430220654215E-2</v>
      </c>
      <c r="O198">
        <v>25.256666666666671</v>
      </c>
      <c r="P198">
        <v>21.97</v>
      </c>
      <c r="Q198">
        <v>3.43395198633397</v>
      </c>
      <c r="R198">
        <v>1.3907831054886759</v>
      </c>
      <c r="S198">
        <v>312.46100000000001</v>
      </c>
      <c r="T198">
        <v>324.36599999999999</v>
      </c>
      <c r="U198">
        <v>382.14</v>
      </c>
      <c r="V198">
        <v>409.77199999999999</v>
      </c>
      <c r="W198">
        <v>322.923</v>
      </c>
      <c r="X198">
        <v>321.53899999999999</v>
      </c>
      <c r="Y198">
        <v>366.07</v>
      </c>
      <c r="Z198">
        <v>526.10400000000004</v>
      </c>
      <c r="AA198">
        <v>0.53500000000000003</v>
      </c>
      <c r="AB198">
        <v>742.9</v>
      </c>
      <c r="AC198">
        <v>368.6</v>
      </c>
      <c r="AD198">
        <v>351.6</v>
      </c>
      <c r="AE198">
        <v>229</v>
      </c>
      <c r="AF198">
        <v>0.17</v>
      </c>
      <c r="AG198">
        <v>349.7</v>
      </c>
      <c r="AH198">
        <v>0.59699999999999998</v>
      </c>
      <c r="AI198">
        <v>0.75800000000000001</v>
      </c>
      <c r="AJ198">
        <v>130.30000000000001</v>
      </c>
      <c r="AK198">
        <v>10.28</v>
      </c>
      <c r="AL198">
        <v>133.1</v>
      </c>
      <c r="AM198">
        <v>40.781230000000001</v>
      </c>
      <c r="AN198">
        <v>-85.646249999999995</v>
      </c>
      <c r="AO198">
        <v>222.5</v>
      </c>
      <c r="AP198">
        <v>151.5</v>
      </c>
      <c r="AQ198">
        <v>8.64</v>
      </c>
      <c r="AR198">
        <v>-122.1</v>
      </c>
      <c r="AS198">
        <v>11.9</v>
      </c>
      <c r="AT198">
        <v>0</v>
      </c>
      <c r="AU198">
        <v>27.545000000000002</v>
      </c>
      <c r="AV198">
        <v>4.0999999999999996</v>
      </c>
      <c r="AW198">
        <v>0</v>
      </c>
      <c r="AX198">
        <v>-85.646588960000003</v>
      </c>
      <c r="AY198">
        <v>40.781075420000001</v>
      </c>
      <c r="AZ198">
        <f t="shared" si="9"/>
        <v>8</v>
      </c>
      <c r="BA198">
        <f t="shared" si="10"/>
        <v>5</v>
      </c>
      <c r="BB198">
        <f t="shared" si="11"/>
        <v>2024</v>
      </c>
      <c r="BD198" s="19">
        <v>45509</v>
      </c>
    </row>
    <row r="199" spans="1:56" x14ac:dyDescent="0.25">
      <c r="A199" s="25">
        <v>10464</v>
      </c>
      <c r="B199" t="s">
        <v>614</v>
      </c>
      <c r="C199" t="s">
        <v>614</v>
      </c>
      <c r="D199" s="27" t="s">
        <v>488</v>
      </c>
      <c r="E199" s="27">
        <v>4</v>
      </c>
      <c r="F199" s="58"/>
      <c r="G199">
        <v>4980</v>
      </c>
      <c r="H199" t="s">
        <v>19</v>
      </c>
      <c r="I199" t="s">
        <v>8</v>
      </c>
      <c r="J199">
        <v>-0.49980000000000002</v>
      </c>
      <c r="K199">
        <v>1.766</v>
      </c>
      <c r="L199">
        <v>3.0000000000000001E-3</v>
      </c>
      <c r="M199">
        <v>0.05</v>
      </c>
      <c r="N199" s="71">
        <v>9.3712366947740794E-2</v>
      </c>
      <c r="O199">
        <v>21.363333333333333</v>
      </c>
      <c r="P199">
        <v>26.193333333333332</v>
      </c>
      <c r="Q199">
        <v>3.5888508768628675</v>
      </c>
      <c r="R199">
        <v>1.4319991838400328</v>
      </c>
      <c r="S199">
        <v>346.09899999999999</v>
      </c>
      <c r="T199">
        <v>326.464</v>
      </c>
      <c r="U199">
        <v>404.11900000000003</v>
      </c>
      <c r="V199">
        <v>432.959</v>
      </c>
      <c r="W199">
        <v>343.95</v>
      </c>
      <c r="X199">
        <v>343.56200000000001</v>
      </c>
      <c r="Y199">
        <v>395.78899999999999</v>
      </c>
      <c r="Z199">
        <v>625.55899999999997</v>
      </c>
      <c r="AA199">
        <v>0.502</v>
      </c>
      <c r="AB199">
        <v>742.6</v>
      </c>
      <c r="AC199">
        <v>368.8</v>
      </c>
      <c r="AD199">
        <v>351.8</v>
      </c>
      <c r="AE199">
        <v>229</v>
      </c>
      <c r="AF199">
        <v>0.17</v>
      </c>
      <c r="AG199">
        <v>349.9</v>
      </c>
      <c r="AH199">
        <v>0.498</v>
      </c>
      <c r="AI199">
        <v>0.71199999999999997</v>
      </c>
      <c r="AJ199">
        <v>130.4</v>
      </c>
      <c r="AK199">
        <v>10.28</v>
      </c>
      <c r="AL199">
        <v>133.1</v>
      </c>
      <c r="AM199">
        <v>40.784010000000002</v>
      </c>
      <c r="AN199">
        <v>-85.638170000000002</v>
      </c>
      <c r="AO199">
        <v>226.2</v>
      </c>
      <c r="AP199">
        <v>168.6</v>
      </c>
      <c r="AQ199">
        <v>8.64</v>
      </c>
      <c r="AR199">
        <v>-122.5</v>
      </c>
      <c r="AS199">
        <v>11.9</v>
      </c>
      <c r="AT199">
        <v>0</v>
      </c>
      <c r="AU199">
        <v>27.533000000000001</v>
      </c>
      <c r="AV199">
        <v>4.18</v>
      </c>
      <c r="AW199">
        <v>0</v>
      </c>
      <c r="AX199">
        <v>-85.638733939999995</v>
      </c>
      <c r="AY199">
        <v>40.783930470000001</v>
      </c>
      <c r="AZ199">
        <f t="shared" si="9"/>
        <v>8</v>
      </c>
      <c r="BA199">
        <f t="shared" si="10"/>
        <v>5</v>
      </c>
      <c r="BB199">
        <f t="shared" si="11"/>
        <v>2024</v>
      </c>
      <c r="BD199" s="19">
        <v>45509</v>
      </c>
    </row>
    <row r="200" spans="1:56" x14ac:dyDescent="0.25">
      <c r="A200" s="25">
        <v>10465</v>
      </c>
      <c r="B200" t="s">
        <v>615</v>
      </c>
      <c r="C200" t="s">
        <v>615</v>
      </c>
      <c r="D200" s="27" t="s">
        <v>489</v>
      </c>
      <c r="E200" s="27">
        <v>5</v>
      </c>
      <c r="F200" s="58"/>
      <c r="G200">
        <v>6340</v>
      </c>
      <c r="H200" t="s">
        <v>19</v>
      </c>
      <c r="I200" t="s">
        <v>8</v>
      </c>
      <c r="J200">
        <v>-0.50609999999999999</v>
      </c>
      <c r="K200">
        <v>1.673</v>
      </c>
      <c r="L200">
        <v>3.0000000000000001E-3</v>
      </c>
      <c r="M200">
        <v>0.05</v>
      </c>
      <c r="N200" s="71">
        <v>0.1414688469776979</v>
      </c>
      <c r="O200">
        <v>46.716666666666669</v>
      </c>
      <c r="P200">
        <v>4.1433333333333335</v>
      </c>
      <c r="Q200">
        <v>3.4537041938510757</v>
      </c>
      <c r="R200">
        <v>1.3834376657824936</v>
      </c>
      <c r="S200">
        <v>320.66399999999999</v>
      </c>
      <c r="T200">
        <v>323.77699999999999</v>
      </c>
      <c r="U200">
        <v>391.98899999999998</v>
      </c>
      <c r="V200">
        <v>409.06299999999999</v>
      </c>
      <c r="W200">
        <v>335.96600000000001</v>
      </c>
      <c r="X200">
        <v>316.13499999999999</v>
      </c>
      <c r="Y200">
        <v>405.02199999999999</v>
      </c>
      <c r="Z200">
        <v>703.37099999999998</v>
      </c>
      <c r="AA200">
        <v>0.60199999999999998</v>
      </c>
      <c r="AB200">
        <v>741.4</v>
      </c>
      <c r="AC200">
        <v>371.1</v>
      </c>
      <c r="AD200">
        <v>354.2</v>
      </c>
      <c r="AE200">
        <v>230</v>
      </c>
      <c r="AF200">
        <v>0.17</v>
      </c>
      <c r="AG200">
        <v>352.4</v>
      </c>
      <c r="AH200">
        <v>0.59</v>
      </c>
      <c r="AI200">
        <v>0.85399999999999998</v>
      </c>
      <c r="AJ200">
        <v>130.19999999999999</v>
      </c>
      <c r="AK200">
        <v>10.28</v>
      </c>
      <c r="AL200">
        <v>132.9</v>
      </c>
      <c r="AM200">
        <v>40.774769999999997</v>
      </c>
      <c r="AN200">
        <v>-85.624110000000002</v>
      </c>
      <c r="AO200">
        <v>228.6</v>
      </c>
      <c r="AP200">
        <v>177.7</v>
      </c>
      <c r="AQ200">
        <v>8.65</v>
      </c>
      <c r="AR200">
        <v>-122.8</v>
      </c>
      <c r="AS200">
        <v>11.9</v>
      </c>
      <c r="AT200">
        <v>0</v>
      </c>
      <c r="AU200">
        <v>27.494</v>
      </c>
      <c r="AV200">
        <v>4.45</v>
      </c>
      <c r="AW200">
        <v>0</v>
      </c>
      <c r="AX200">
        <v>-85.624036320000002</v>
      </c>
      <c r="AY200">
        <v>40.774560219999998</v>
      </c>
      <c r="AZ200">
        <f t="shared" si="9"/>
        <v>8</v>
      </c>
      <c r="BA200">
        <f t="shared" si="10"/>
        <v>5</v>
      </c>
      <c r="BB200">
        <f t="shared" si="11"/>
        <v>2024</v>
      </c>
      <c r="BD200" s="19">
        <v>45509</v>
      </c>
    </row>
    <row r="201" spans="1:56" x14ac:dyDescent="0.25">
      <c r="A201" s="25">
        <v>10466</v>
      </c>
      <c r="B201" t="s">
        <v>616</v>
      </c>
      <c r="C201" t="s">
        <v>616</v>
      </c>
      <c r="D201" s="27" t="s">
        <v>490</v>
      </c>
      <c r="E201" s="27">
        <v>6</v>
      </c>
      <c r="F201" s="58"/>
      <c r="G201">
        <v>7900</v>
      </c>
      <c r="H201" t="s">
        <v>19</v>
      </c>
      <c r="I201" t="s">
        <v>8</v>
      </c>
      <c r="J201">
        <v>-0.50800000000000001</v>
      </c>
      <c r="K201">
        <v>1.7909999999999999</v>
      </c>
      <c r="L201">
        <v>3.0000000000000001E-3</v>
      </c>
      <c r="M201">
        <v>0.05</v>
      </c>
      <c r="N201" s="41">
        <v>0.15</v>
      </c>
      <c r="O201">
        <v>44.1</v>
      </c>
      <c r="P201">
        <v>1.5133333333333334</v>
      </c>
      <c r="Q201">
        <v>3.5155597910757033</v>
      </c>
      <c r="R201">
        <v>1.4177163844113447</v>
      </c>
      <c r="S201">
        <v>313.45499999999998</v>
      </c>
      <c r="T201">
        <v>320.49299999999999</v>
      </c>
      <c r="U201">
        <v>389.42700000000002</v>
      </c>
      <c r="V201">
        <v>402.245</v>
      </c>
      <c r="W201">
        <v>327.65800000000002</v>
      </c>
      <c r="X201">
        <v>327.33800000000002</v>
      </c>
      <c r="Y201">
        <v>392.37799999999999</v>
      </c>
      <c r="Z201">
        <v>607.67399999999998</v>
      </c>
      <c r="AA201">
        <v>0.65</v>
      </c>
      <c r="AB201">
        <v>741.1</v>
      </c>
      <c r="AC201">
        <v>372.1</v>
      </c>
      <c r="AD201">
        <v>356.2</v>
      </c>
      <c r="AE201">
        <v>232</v>
      </c>
      <c r="AF201">
        <v>0.17</v>
      </c>
      <c r="AG201">
        <v>354.5</v>
      </c>
      <c r="AH201">
        <v>0.61599999999999999</v>
      </c>
      <c r="AI201">
        <v>0.92100000000000004</v>
      </c>
      <c r="AJ201">
        <v>124.7</v>
      </c>
      <c r="AK201">
        <v>9.8699999999999992</v>
      </c>
      <c r="AL201">
        <v>127.3</v>
      </c>
      <c r="AM201">
        <v>40.775080000000003</v>
      </c>
      <c r="AN201">
        <v>-85.605829999999997</v>
      </c>
      <c r="AO201">
        <v>227.8</v>
      </c>
      <c r="AP201">
        <v>167.7</v>
      </c>
      <c r="AQ201">
        <v>8.6300000000000008</v>
      </c>
      <c r="AR201">
        <v>-121.4</v>
      </c>
      <c r="AS201">
        <v>11.9</v>
      </c>
      <c r="AT201">
        <v>0</v>
      </c>
      <c r="AU201">
        <v>27.34</v>
      </c>
      <c r="AV201">
        <v>3.55</v>
      </c>
      <c r="AW201">
        <v>0</v>
      </c>
      <c r="AX201">
        <v>-85.606134130000001</v>
      </c>
      <c r="AY201">
        <v>40.77494488</v>
      </c>
      <c r="AZ201">
        <f t="shared" si="9"/>
        <v>8</v>
      </c>
      <c r="BA201">
        <f t="shared" si="10"/>
        <v>5</v>
      </c>
      <c r="BB201">
        <f t="shared" si="11"/>
        <v>2024</v>
      </c>
      <c r="BD201" s="19">
        <v>45509</v>
      </c>
    </row>
    <row r="202" spans="1:56" x14ac:dyDescent="0.25">
      <c r="A202" s="25">
        <v>10467</v>
      </c>
      <c r="B202" t="s">
        <v>617</v>
      </c>
      <c r="C202" t="s">
        <v>617</v>
      </c>
      <c r="D202" s="27" t="s">
        <v>491</v>
      </c>
      <c r="E202" s="27">
        <v>7</v>
      </c>
      <c r="F202" s="58"/>
      <c r="G202">
        <v>10610</v>
      </c>
      <c r="H202" t="s">
        <v>19</v>
      </c>
      <c r="I202" t="s">
        <v>8</v>
      </c>
      <c r="J202">
        <v>-0.50409999999999999</v>
      </c>
      <c r="K202">
        <v>1.5940000000000001</v>
      </c>
      <c r="L202">
        <v>-1E-3</v>
      </c>
      <c r="M202">
        <v>0.05</v>
      </c>
      <c r="N202" s="41">
        <v>0.15</v>
      </c>
      <c r="O202">
        <v>57.353333333333332</v>
      </c>
      <c r="P202">
        <v>6.1466666666666656</v>
      </c>
      <c r="Q202">
        <v>3.5311536391155252</v>
      </c>
      <c r="R202">
        <v>1.3195731483370743</v>
      </c>
      <c r="S202">
        <v>285.58100000000002</v>
      </c>
      <c r="T202">
        <v>281.084</v>
      </c>
      <c r="U202">
        <v>350.67</v>
      </c>
      <c r="V202">
        <v>359.61399999999998</v>
      </c>
      <c r="W202">
        <v>311.99700000000001</v>
      </c>
      <c r="X202">
        <v>302.19299999999998</v>
      </c>
      <c r="Y202">
        <v>386.73399999999998</v>
      </c>
      <c r="Z202">
        <v>626.40899999999999</v>
      </c>
      <c r="AA202">
        <v>0.54500000000000004</v>
      </c>
      <c r="AB202">
        <v>741</v>
      </c>
      <c r="AC202">
        <v>360</v>
      </c>
      <c r="AD202">
        <v>341.6</v>
      </c>
      <c r="AE202">
        <v>222</v>
      </c>
      <c r="AF202">
        <v>0.16</v>
      </c>
      <c r="AG202">
        <v>339.6</v>
      </c>
      <c r="AH202">
        <v>0.60799999999999998</v>
      </c>
      <c r="AI202">
        <v>0.77200000000000002</v>
      </c>
      <c r="AJ202">
        <v>146.6</v>
      </c>
      <c r="AK202">
        <v>11.5</v>
      </c>
      <c r="AL202">
        <v>149.69999999999999</v>
      </c>
      <c r="AM202">
        <v>40.775970000000001</v>
      </c>
      <c r="AN202">
        <v>-85.583179999999999</v>
      </c>
      <c r="AO202">
        <v>230.7</v>
      </c>
      <c r="AP202">
        <v>165.5</v>
      </c>
      <c r="AQ202">
        <v>8.77</v>
      </c>
      <c r="AR202">
        <v>-129.9</v>
      </c>
      <c r="AS202">
        <v>11.9</v>
      </c>
      <c r="AT202">
        <v>0</v>
      </c>
      <c r="AU202">
        <v>27.829000000000001</v>
      </c>
      <c r="AV202">
        <v>4.42</v>
      </c>
      <c r="AW202">
        <v>0</v>
      </c>
      <c r="AX202">
        <v>-85.580525960000003</v>
      </c>
      <c r="AY202">
        <v>40.775568530000001</v>
      </c>
      <c r="AZ202">
        <f t="shared" si="9"/>
        <v>8</v>
      </c>
      <c r="BA202">
        <f t="shared" si="10"/>
        <v>5</v>
      </c>
      <c r="BB202">
        <f t="shared" si="11"/>
        <v>2024</v>
      </c>
      <c r="BD202" s="19">
        <v>45509</v>
      </c>
    </row>
    <row r="203" spans="1:56" x14ac:dyDescent="0.25">
      <c r="A203" s="25">
        <v>10468</v>
      </c>
      <c r="B203" t="s">
        <v>618</v>
      </c>
      <c r="C203" t="s">
        <v>618</v>
      </c>
      <c r="D203" s="27" t="s">
        <v>492</v>
      </c>
      <c r="E203" s="27">
        <v>8</v>
      </c>
      <c r="F203" s="58"/>
      <c r="G203">
        <v>9370</v>
      </c>
      <c r="H203" t="s">
        <v>19</v>
      </c>
      <c r="I203" t="s">
        <v>8</v>
      </c>
      <c r="J203">
        <v>-0.50360000000000005</v>
      </c>
      <c r="K203">
        <v>1.8220000000000001</v>
      </c>
      <c r="L203">
        <v>0</v>
      </c>
      <c r="M203">
        <v>0.05</v>
      </c>
      <c r="N203" s="71">
        <v>1.9501758935540237E-2</v>
      </c>
      <c r="O203">
        <v>63.080000000000005</v>
      </c>
      <c r="P203">
        <v>7.8733333333333322</v>
      </c>
      <c r="Q203">
        <v>3.7021661726189077</v>
      </c>
      <c r="R203">
        <v>1.3748679861252806</v>
      </c>
      <c r="S203">
        <v>287.44600000000003</v>
      </c>
      <c r="T203">
        <v>268.262</v>
      </c>
      <c r="U203">
        <v>319.61900000000003</v>
      </c>
      <c r="V203">
        <v>341.06700000000001</v>
      </c>
      <c r="W203">
        <v>280.32299999999998</v>
      </c>
      <c r="X203">
        <v>272.43799999999999</v>
      </c>
      <c r="Y203">
        <v>336.99900000000002</v>
      </c>
      <c r="Z203">
        <v>594.77499999999998</v>
      </c>
      <c r="AA203">
        <v>0.61099999999999999</v>
      </c>
      <c r="AB203">
        <v>741.4</v>
      </c>
      <c r="AC203">
        <v>367</v>
      </c>
      <c r="AD203">
        <v>349.5</v>
      </c>
      <c r="AE203">
        <v>227</v>
      </c>
      <c r="AF203">
        <v>0.17</v>
      </c>
      <c r="AG203">
        <v>347.7</v>
      </c>
      <c r="AH203">
        <v>0.60299999999999998</v>
      </c>
      <c r="AI203">
        <v>0.86599999999999999</v>
      </c>
      <c r="AJ203">
        <v>145.30000000000001</v>
      </c>
      <c r="AK203">
        <v>11.44</v>
      </c>
      <c r="AL203">
        <v>148.30000000000001</v>
      </c>
      <c r="AM203">
        <v>40.766950000000001</v>
      </c>
      <c r="AN203">
        <v>-85.597089999999994</v>
      </c>
      <c r="AO203">
        <v>227.9</v>
      </c>
      <c r="AP203">
        <v>158.19999999999999</v>
      </c>
      <c r="AQ203">
        <v>8.7799999999999994</v>
      </c>
      <c r="AR203">
        <v>-130.6</v>
      </c>
      <c r="AS203">
        <v>11.9</v>
      </c>
      <c r="AT203">
        <v>0</v>
      </c>
      <c r="AU203">
        <v>27.62</v>
      </c>
      <c r="AV203">
        <v>3.9</v>
      </c>
      <c r="AW203">
        <v>0</v>
      </c>
      <c r="AX203">
        <v>-85.596868459999996</v>
      </c>
      <c r="AY203">
        <v>40.766858499999998</v>
      </c>
      <c r="AZ203">
        <f t="shared" si="9"/>
        <v>8</v>
      </c>
      <c r="BA203">
        <f t="shared" si="10"/>
        <v>5</v>
      </c>
      <c r="BB203">
        <f t="shared" si="11"/>
        <v>2024</v>
      </c>
      <c r="BD203" s="19">
        <v>45509</v>
      </c>
    </row>
    <row r="204" spans="1:56" x14ac:dyDescent="0.25">
      <c r="A204" s="25">
        <v>10469</v>
      </c>
      <c r="B204" t="s">
        <v>619</v>
      </c>
      <c r="C204" t="s">
        <v>619</v>
      </c>
      <c r="D204" s="27" t="s">
        <v>493</v>
      </c>
      <c r="E204" s="45">
        <v>9</v>
      </c>
      <c r="F204" s="58"/>
      <c r="G204">
        <v>10331</v>
      </c>
      <c r="H204" t="s">
        <v>19</v>
      </c>
      <c r="I204" t="s">
        <v>8</v>
      </c>
      <c r="J204">
        <v>-0.50560000000000005</v>
      </c>
      <c r="K204">
        <v>1.7969999999999999</v>
      </c>
      <c r="L204">
        <v>3.0000000000000001E-3</v>
      </c>
      <c r="M204">
        <v>0.05</v>
      </c>
      <c r="N204" s="71">
        <v>5.6293224409747253E-2</v>
      </c>
      <c r="O204">
        <v>65.913333333333341</v>
      </c>
      <c r="P204">
        <v>18.533333333333335</v>
      </c>
      <c r="Q204">
        <v>3.7401112028491417</v>
      </c>
      <c r="R204">
        <v>1.3224297082228116</v>
      </c>
      <c r="S204">
        <v>263.79599999999999</v>
      </c>
      <c r="T204">
        <v>265.11399999999998</v>
      </c>
      <c r="U204">
        <v>341.40100000000001</v>
      </c>
      <c r="V204">
        <v>360.44799999999998</v>
      </c>
      <c r="W204">
        <v>288.04899999999998</v>
      </c>
      <c r="X204">
        <v>264.97300000000001</v>
      </c>
      <c r="Y204">
        <v>361.65800000000002</v>
      </c>
      <c r="Z204">
        <v>621.76900000000001</v>
      </c>
      <c r="AA204">
        <v>0.65600000000000003</v>
      </c>
      <c r="AB204">
        <v>741.4</v>
      </c>
      <c r="AC204">
        <v>371.9</v>
      </c>
      <c r="AD204">
        <v>354</v>
      </c>
      <c r="AE204">
        <v>230</v>
      </c>
      <c r="AF204">
        <v>0.17</v>
      </c>
      <c r="AG204">
        <v>352</v>
      </c>
      <c r="AH204">
        <v>0.67600000000000005</v>
      </c>
      <c r="AI204">
        <v>0.92900000000000005</v>
      </c>
      <c r="AJ204">
        <v>135.80000000000001</v>
      </c>
      <c r="AK204">
        <v>10.69</v>
      </c>
      <c r="AL204">
        <v>138.6</v>
      </c>
      <c r="AM204">
        <v>40.757240000000003</v>
      </c>
      <c r="AN204">
        <v>-85.594859999999997</v>
      </c>
      <c r="AO204">
        <v>227.7</v>
      </c>
      <c r="AP204">
        <v>159.30000000000001</v>
      </c>
      <c r="AQ204">
        <v>8.64</v>
      </c>
      <c r="AR204">
        <v>-122.3</v>
      </c>
      <c r="AS204">
        <v>11.9</v>
      </c>
      <c r="AT204">
        <v>0</v>
      </c>
      <c r="AU204">
        <v>27.661999999999999</v>
      </c>
      <c r="AV204">
        <v>6.26</v>
      </c>
      <c r="AW204">
        <v>0</v>
      </c>
      <c r="AX204">
        <v>-85.594853409999999</v>
      </c>
      <c r="AY204">
        <v>40.757165809999996</v>
      </c>
      <c r="AZ204">
        <f t="shared" si="9"/>
        <v>8</v>
      </c>
      <c r="BA204">
        <f t="shared" si="10"/>
        <v>5</v>
      </c>
      <c r="BB204">
        <f t="shared" si="11"/>
        <v>2024</v>
      </c>
      <c r="BD204" s="19">
        <v>45509</v>
      </c>
    </row>
    <row r="205" spans="1:56" x14ac:dyDescent="0.25">
      <c r="A205" s="25">
        <v>10470</v>
      </c>
      <c r="B205" t="s">
        <v>620</v>
      </c>
      <c r="C205" t="s">
        <v>620</v>
      </c>
      <c r="D205" s="27" t="s">
        <v>494</v>
      </c>
      <c r="E205" s="45">
        <v>10</v>
      </c>
      <c r="F205" s="58"/>
      <c r="G205">
        <v>11270</v>
      </c>
      <c r="H205" t="s">
        <v>19</v>
      </c>
      <c r="I205" t="s">
        <v>8</v>
      </c>
      <c r="J205">
        <v>-0.49280000000000002</v>
      </c>
      <c r="K205">
        <v>1.7</v>
      </c>
      <c r="L205">
        <v>1E-3</v>
      </c>
      <c r="M205">
        <v>0.05</v>
      </c>
      <c r="N205" s="71">
        <v>0.27599359118572286</v>
      </c>
      <c r="O205">
        <v>69.023333333333326</v>
      </c>
      <c r="P205">
        <v>15.673333333333334</v>
      </c>
      <c r="Q205">
        <v>3.6065239046413327</v>
      </c>
      <c r="R205">
        <v>1.2922317894307285</v>
      </c>
      <c r="S205">
        <v>271.00799999999998</v>
      </c>
      <c r="T205">
        <v>297.221</v>
      </c>
      <c r="U205">
        <v>359.85700000000003</v>
      </c>
      <c r="V205">
        <v>365.64600000000002</v>
      </c>
      <c r="W205">
        <v>298.048</v>
      </c>
      <c r="X205">
        <v>308.56099999999998</v>
      </c>
      <c r="Y205">
        <v>370.815</v>
      </c>
      <c r="Z205">
        <v>672.375</v>
      </c>
      <c r="AA205">
        <v>0.622</v>
      </c>
      <c r="AB205">
        <v>741.3</v>
      </c>
      <c r="AC205">
        <v>372.9</v>
      </c>
      <c r="AD205">
        <v>352.6</v>
      </c>
      <c r="AE205">
        <v>229</v>
      </c>
      <c r="AF205">
        <v>0.17</v>
      </c>
      <c r="AG205">
        <v>350.4</v>
      </c>
      <c r="AH205">
        <v>0.63800000000000001</v>
      </c>
      <c r="AI205">
        <v>0.88100000000000001</v>
      </c>
      <c r="AJ205">
        <v>147.19999999999999</v>
      </c>
      <c r="AK205">
        <v>11.51</v>
      </c>
      <c r="AL205">
        <v>150.30000000000001</v>
      </c>
      <c r="AM205">
        <v>40.755920000000003</v>
      </c>
      <c r="AN205">
        <v>-85.582599999999999</v>
      </c>
      <c r="AO205">
        <v>228.4</v>
      </c>
      <c r="AP205">
        <v>164.2</v>
      </c>
      <c r="AQ205">
        <v>8.76</v>
      </c>
      <c r="AR205">
        <v>-129.30000000000001</v>
      </c>
      <c r="AS205">
        <v>11.9</v>
      </c>
      <c r="AT205">
        <v>0</v>
      </c>
      <c r="AU205">
        <v>28.010999999999999</v>
      </c>
      <c r="AV205">
        <v>5.14</v>
      </c>
      <c r="AW205">
        <v>0</v>
      </c>
      <c r="AX205">
        <v>-85.582874129999993</v>
      </c>
      <c r="AY205">
        <v>40.755891669999997</v>
      </c>
      <c r="AZ205">
        <f t="shared" si="9"/>
        <v>8</v>
      </c>
      <c r="BA205">
        <f t="shared" si="10"/>
        <v>5</v>
      </c>
      <c r="BB205">
        <f t="shared" si="11"/>
        <v>2024</v>
      </c>
      <c r="BD205" s="19">
        <v>45509</v>
      </c>
    </row>
    <row r="206" spans="1:56" x14ac:dyDescent="0.25">
      <c r="A206" s="25">
        <v>10471</v>
      </c>
      <c r="B206" t="s">
        <v>621</v>
      </c>
      <c r="C206" t="s">
        <v>621</v>
      </c>
      <c r="D206" s="27" t="s">
        <v>495</v>
      </c>
      <c r="E206" s="45">
        <v>13</v>
      </c>
      <c r="F206" s="58"/>
      <c r="G206">
        <v>5180</v>
      </c>
      <c r="H206" t="s">
        <v>19</v>
      </c>
      <c r="I206" t="s">
        <v>8</v>
      </c>
      <c r="J206">
        <v>-0.51319999999999999</v>
      </c>
      <c r="K206">
        <v>1.92</v>
      </c>
      <c r="L206">
        <v>1E-3</v>
      </c>
      <c r="M206">
        <v>0.05</v>
      </c>
      <c r="N206" s="71">
        <v>0.17822941768395634</v>
      </c>
      <c r="O206">
        <v>28.903333333333336</v>
      </c>
      <c r="P206">
        <v>18.153333333333332</v>
      </c>
      <c r="Q206">
        <v>3.7281559193519449</v>
      </c>
      <c r="R206">
        <v>1.3918033054478678</v>
      </c>
      <c r="S206">
        <v>334.548</v>
      </c>
      <c r="T206">
        <v>333.49099999999999</v>
      </c>
      <c r="U206">
        <v>403.173</v>
      </c>
      <c r="V206">
        <v>419.37900000000002</v>
      </c>
      <c r="W206">
        <v>348.71899999999999</v>
      </c>
      <c r="X206">
        <v>344.62599999999998</v>
      </c>
      <c r="Y206">
        <v>394.61200000000002</v>
      </c>
      <c r="Z206">
        <v>585.61300000000006</v>
      </c>
      <c r="AA206">
        <v>0.56000000000000005</v>
      </c>
      <c r="AB206">
        <v>742</v>
      </c>
      <c r="AC206">
        <v>371.6</v>
      </c>
      <c r="AD206">
        <v>354</v>
      </c>
      <c r="AE206">
        <v>230</v>
      </c>
      <c r="AF206">
        <v>0.17</v>
      </c>
      <c r="AG206">
        <v>352.1</v>
      </c>
      <c r="AH206">
        <v>0.57499999999999996</v>
      </c>
      <c r="AI206">
        <v>0.79400000000000004</v>
      </c>
      <c r="AJ206">
        <v>128</v>
      </c>
      <c r="AK206">
        <v>10.08</v>
      </c>
      <c r="AL206">
        <v>130.6</v>
      </c>
      <c r="AM206">
        <v>40.781120000000001</v>
      </c>
      <c r="AN206">
        <v>-85.637309999999999</v>
      </c>
      <c r="AO206">
        <v>230.6</v>
      </c>
      <c r="AP206">
        <v>175.2</v>
      </c>
      <c r="AQ206">
        <v>8.65</v>
      </c>
      <c r="AR206">
        <v>-122.8</v>
      </c>
      <c r="AS206">
        <v>11.9</v>
      </c>
      <c r="AT206">
        <v>0</v>
      </c>
      <c r="AU206">
        <v>27.6</v>
      </c>
      <c r="AV206">
        <v>3.95</v>
      </c>
      <c r="AW206">
        <v>0</v>
      </c>
      <c r="AX206">
        <v>-85.637500149999994</v>
      </c>
      <c r="AY206">
        <v>40.781062970000001</v>
      </c>
      <c r="AZ206">
        <f t="shared" si="9"/>
        <v>8</v>
      </c>
      <c r="BA206">
        <f t="shared" si="10"/>
        <v>5</v>
      </c>
      <c r="BB206">
        <f t="shared" si="11"/>
        <v>2024</v>
      </c>
      <c r="BD206" s="19">
        <v>45509</v>
      </c>
    </row>
    <row r="207" spans="1:56" x14ac:dyDescent="0.25">
      <c r="A207" s="25">
        <v>10472</v>
      </c>
      <c r="B207" t="s">
        <v>622</v>
      </c>
      <c r="C207" t="s">
        <v>622</v>
      </c>
      <c r="D207" s="27" t="s">
        <v>496</v>
      </c>
      <c r="E207" s="45">
        <v>14</v>
      </c>
      <c r="F207" s="58"/>
      <c r="G207">
        <v>1040</v>
      </c>
      <c r="H207" t="s">
        <v>19</v>
      </c>
      <c r="I207" t="s">
        <v>8</v>
      </c>
      <c r="J207">
        <v>-0.51659999999999995</v>
      </c>
      <c r="K207">
        <v>1.917</v>
      </c>
      <c r="L207">
        <v>4.0000000000000001E-3</v>
      </c>
      <c r="M207">
        <v>0.05</v>
      </c>
      <c r="N207" s="71">
        <v>0.22917145333723327</v>
      </c>
      <c r="O207">
        <v>22.623333333333335</v>
      </c>
      <c r="P207">
        <v>20.239999999999998</v>
      </c>
      <c r="Q207">
        <v>3.3313791192275821</v>
      </c>
      <c r="R207">
        <v>1.3136559885737606</v>
      </c>
      <c r="S207">
        <v>319.13099999999997</v>
      </c>
      <c r="T207">
        <v>323.41500000000002</v>
      </c>
      <c r="U207">
        <v>397.29700000000003</v>
      </c>
      <c r="V207">
        <v>408.505</v>
      </c>
      <c r="W207">
        <v>335.8</v>
      </c>
      <c r="X207">
        <v>334.17500000000001</v>
      </c>
      <c r="Y207">
        <v>381.08100000000002</v>
      </c>
      <c r="Z207">
        <v>585.32500000000005</v>
      </c>
      <c r="AA207">
        <v>0.621</v>
      </c>
      <c r="AB207">
        <v>740.5</v>
      </c>
      <c r="AC207">
        <v>375.2</v>
      </c>
      <c r="AD207">
        <v>357</v>
      </c>
      <c r="AE207">
        <v>232</v>
      </c>
      <c r="AF207">
        <v>0.17</v>
      </c>
      <c r="AG207">
        <v>355</v>
      </c>
      <c r="AH207">
        <v>0.64800000000000002</v>
      </c>
      <c r="AI207">
        <v>0.88100000000000001</v>
      </c>
      <c r="AJ207">
        <v>132.80000000000001</v>
      </c>
      <c r="AK207">
        <v>10.45</v>
      </c>
      <c r="AL207">
        <v>135.6</v>
      </c>
      <c r="AM207">
        <v>40.801360000000003</v>
      </c>
      <c r="AN207">
        <v>-85.66901</v>
      </c>
      <c r="AO207">
        <v>229.9</v>
      </c>
      <c r="AP207">
        <v>150.80000000000001</v>
      </c>
      <c r="AQ207">
        <v>8.68</v>
      </c>
      <c r="AR207">
        <v>-124.5</v>
      </c>
      <c r="AS207">
        <v>11.9</v>
      </c>
      <c r="AT207">
        <v>0</v>
      </c>
      <c r="AU207">
        <v>27.670999999999999</v>
      </c>
      <c r="AV207">
        <v>4.42</v>
      </c>
      <c r="AW207">
        <v>0</v>
      </c>
      <c r="AX207">
        <v>-85.667890909999997</v>
      </c>
      <c r="AY207">
        <v>40.8002343</v>
      </c>
      <c r="AZ207">
        <f t="shared" si="9"/>
        <v>8</v>
      </c>
      <c r="BA207">
        <f t="shared" si="10"/>
        <v>5</v>
      </c>
      <c r="BB207">
        <f t="shared" si="11"/>
        <v>2024</v>
      </c>
      <c r="BD207" s="19">
        <v>45509</v>
      </c>
    </row>
    <row r="208" spans="1:56" x14ac:dyDescent="0.25">
      <c r="A208" s="25">
        <v>10473</v>
      </c>
      <c r="B208" t="s">
        <v>626</v>
      </c>
      <c r="C208" t="s">
        <v>626</v>
      </c>
      <c r="D208" s="27" t="s">
        <v>497</v>
      </c>
      <c r="E208" s="45">
        <v>1</v>
      </c>
      <c r="F208" s="59"/>
      <c r="G208">
        <v>6865</v>
      </c>
      <c r="H208" t="s">
        <v>18</v>
      </c>
      <c r="I208" t="s">
        <v>8</v>
      </c>
      <c r="J208">
        <v>8.3000000000000001E-3</v>
      </c>
      <c r="K208">
        <v>3.3000000000000002E-2</v>
      </c>
      <c r="L208">
        <v>0.26200000000000001</v>
      </c>
      <c r="M208">
        <v>0.05</v>
      </c>
      <c r="N208">
        <v>0.17222774566793209</v>
      </c>
      <c r="O208">
        <v>86.5833333333333</v>
      </c>
      <c r="P208">
        <v>10.456666666666667</v>
      </c>
      <c r="Q208" s="27">
        <v>3.3955788366637005</v>
      </c>
      <c r="R208" s="27">
        <v>0.46267851734952625</v>
      </c>
      <c r="S208" s="27">
        <v>142.05199999999999</v>
      </c>
      <c r="T208" s="27">
        <v>183.9</v>
      </c>
      <c r="U208" s="27">
        <v>260.68599999999998</v>
      </c>
      <c r="V208" s="27">
        <v>293.47199999999998</v>
      </c>
      <c r="W208" s="27">
        <v>261.02800000000002</v>
      </c>
      <c r="X208" s="27">
        <v>204.702</v>
      </c>
      <c r="Y208" s="27">
        <v>284.77999999999997</v>
      </c>
      <c r="Z208" s="27">
        <v>497.99200000000002</v>
      </c>
      <c r="AA208">
        <v>0.45200000000000001</v>
      </c>
      <c r="AB208">
        <v>747.8</v>
      </c>
      <c r="AC208">
        <v>555.79999999999995</v>
      </c>
      <c r="AD208">
        <v>551.20000000000005</v>
      </c>
      <c r="AE208">
        <v>358</v>
      </c>
      <c r="AF208">
        <v>0.27</v>
      </c>
      <c r="AG208">
        <v>550.70000000000005</v>
      </c>
      <c r="AH208">
        <v>0.45800000000000002</v>
      </c>
      <c r="AI208">
        <v>0.64</v>
      </c>
      <c r="AJ208">
        <v>182.2</v>
      </c>
      <c r="AK208">
        <v>14.91</v>
      </c>
      <c r="AL208">
        <v>185.3</v>
      </c>
      <c r="AM208">
        <v>40.83502</v>
      </c>
      <c r="AN208">
        <v>-86.807220000000001</v>
      </c>
      <c r="AO208">
        <v>196.9</v>
      </c>
      <c r="AP208">
        <v>187</v>
      </c>
      <c r="AQ208">
        <v>8.1</v>
      </c>
      <c r="AR208">
        <v>-94.3</v>
      </c>
      <c r="AS208">
        <v>11.9</v>
      </c>
      <c r="AT208">
        <v>0</v>
      </c>
      <c r="AU208">
        <v>25.439</v>
      </c>
      <c r="AV208">
        <v>6.96</v>
      </c>
      <c r="AW208">
        <v>0</v>
      </c>
      <c r="AX208">
        <v>-86.807147639999997</v>
      </c>
      <c r="AY208">
        <v>40.835024840000003</v>
      </c>
      <c r="AZ208">
        <f t="shared" si="9"/>
        <v>8</v>
      </c>
      <c r="BA208">
        <f t="shared" si="10"/>
        <v>14</v>
      </c>
      <c r="BB208">
        <f t="shared" si="11"/>
        <v>2024</v>
      </c>
      <c r="BD208" s="19">
        <v>45518</v>
      </c>
    </row>
    <row r="209" spans="1:56" x14ac:dyDescent="0.25">
      <c r="A209" s="25">
        <v>10474</v>
      </c>
      <c r="B209" t="s">
        <v>627</v>
      </c>
      <c r="C209" t="s">
        <v>627</v>
      </c>
      <c r="D209" s="27" t="s">
        <v>498</v>
      </c>
      <c r="E209" s="45">
        <v>5</v>
      </c>
      <c r="F209" s="59"/>
      <c r="G209">
        <v>6425</v>
      </c>
      <c r="H209" t="s">
        <v>18</v>
      </c>
      <c r="I209" t="s">
        <v>8</v>
      </c>
      <c r="J209">
        <v>1.6799999999999999E-2</v>
      </c>
      <c r="K209">
        <v>0.24199999999999999</v>
      </c>
      <c r="L209">
        <v>0.28199999999999997</v>
      </c>
      <c r="M209">
        <v>0.05</v>
      </c>
      <c r="N209">
        <v>0.19689401323955968</v>
      </c>
      <c r="O209">
        <v>61.546666666666674</v>
      </c>
      <c r="P209">
        <v>12.199999999999998</v>
      </c>
      <c r="Q209" s="27">
        <v>3.2110266159695815</v>
      </c>
      <c r="R209" s="27">
        <v>0.53816721434479775</v>
      </c>
      <c r="S209" s="27">
        <v>211.44</v>
      </c>
      <c r="T209" s="27">
        <v>292.61399999999998</v>
      </c>
      <c r="U209" s="27">
        <v>373.71499999999997</v>
      </c>
      <c r="V209" s="27">
        <v>386.95100000000002</v>
      </c>
      <c r="W209" s="27">
        <v>362.12200000000001</v>
      </c>
      <c r="X209" s="27">
        <v>323.40300000000002</v>
      </c>
      <c r="Y209" s="27">
        <v>376.78199999999998</v>
      </c>
      <c r="Z209" s="27">
        <v>553.97799999999995</v>
      </c>
      <c r="AA209">
        <v>0.38</v>
      </c>
      <c r="AB209">
        <v>747.9</v>
      </c>
      <c r="AC209">
        <v>535.79999999999995</v>
      </c>
      <c r="AD209">
        <v>534.70000000000005</v>
      </c>
      <c r="AE209">
        <v>348</v>
      </c>
      <c r="AF209">
        <v>0.26</v>
      </c>
      <c r="AG209">
        <v>534.5</v>
      </c>
      <c r="AH209">
        <v>0.36699999999999999</v>
      </c>
      <c r="AI209">
        <v>0.53900000000000003</v>
      </c>
      <c r="AJ209">
        <v>220.4</v>
      </c>
      <c r="AK209">
        <v>18.149999999999999</v>
      </c>
      <c r="AL209">
        <v>224.1</v>
      </c>
      <c r="AM209">
        <v>40.823869999999999</v>
      </c>
      <c r="AN209">
        <v>-86.795940000000002</v>
      </c>
      <c r="AO209">
        <v>198.3</v>
      </c>
      <c r="AP209">
        <v>214.4</v>
      </c>
      <c r="AQ209">
        <v>8.2100000000000009</v>
      </c>
      <c r="AR209">
        <v>-100.9</v>
      </c>
      <c r="AS209">
        <v>11.9</v>
      </c>
      <c r="AT209">
        <v>0</v>
      </c>
      <c r="AU209">
        <v>25.114000000000001</v>
      </c>
      <c r="AV209">
        <v>4.6100000000000003</v>
      </c>
      <c r="AW209">
        <v>0</v>
      </c>
      <c r="AX209">
        <v>-86.795836289999997</v>
      </c>
      <c r="AY209">
        <v>40.823874850000003</v>
      </c>
      <c r="AZ209">
        <f t="shared" si="9"/>
        <v>8</v>
      </c>
      <c r="BA209">
        <f t="shared" si="10"/>
        <v>14</v>
      </c>
      <c r="BB209">
        <f t="shared" si="11"/>
        <v>2024</v>
      </c>
      <c r="BD209" s="19">
        <v>45518</v>
      </c>
    </row>
    <row r="210" spans="1:56" x14ac:dyDescent="0.25">
      <c r="A210" s="25">
        <v>10475</v>
      </c>
      <c r="B210" t="s">
        <v>628</v>
      </c>
      <c r="C210" t="s">
        <v>628</v>
      </c>
      <c r="D210" s="27" t="s">
        <v>477</v>
      </c>
      <c r="E210" s="45">
        <v>6</v>
      </c>
      <c r="F210" s="59"/>
      <c r="G210">
        <v>8245</v>
      </c>
      <c r="H210" t="s">
        <v>18</v>
      </c>
      <c r="I210" t="s">
        <v>8</v>
      </c>
      <c r="J210">
        <v>1.6E-2</v>
      </c>
      <c r="K210">
        <v>1.43</v>
      </c>
      <c r="L210">
        <v>0.30199999999999999</v>
      </c>
      <c r="M210">
        <v>0.05</v>
      </c>
      <c r="N210">
        <v>0.12339582928472528</v>
      </c>
      <c r="O210">
        <v>1.47</v>
      </c>
      <c r="P210">
        <v>0.66333333333333333</v>
      </c>
      <c r="Q210" s="27">
        <v>2.5759647277728339</v>
      </c>
      <c r="R210" s="27">
        <v>0.77230122964448589</v>
      </c>
      <c r="S210" s="27"/>
      <c r="T210" s="27"/>
      <c r="U210" s="27"/>
      <c r="V210" s="27"/>
      <c r="W210" s="27"/>
      <c r="X210" s="27"/>
      <c r="Y210" s="27"/>
      <c r="Z210" s="27"/>
      <c r="AA210">
        <v>0.45600000000000002</v>
      </c>
      <c r="AB210">
        <v>747.7</v>
      </c>
      <c r="AC210">
        <v>626</v>
      </c>
      <c r="AD210">
        <v>646.4</v>
      </c>
      <c r="AE210">
        <v>420</v>
      </c>
      <c r="AF210">
        <v>0.31</v>
      </c>
      <c r="AG210">
        <v>648.5</v>
      </c>
      <c r="AH210">
        <v>0.45</v>
      </c>
      <c r="AI210">
        <v>0.64800000000000002</v>
      </c>
      <c r="AJ210">
        <v>103.4</v>
      </c>
      <c r="AK210">
        <v>8.7899999999999991</v>
      </c>
      <c r="AL210">
        <v>105.2</v>
      </c>
      <c r="AM210">
        <v>40.834949999999999</v>
      </c>
      <c r="AN210">
        <v>-86.781940000000006</v>
      </c>
      <c r="AO210">
        <v>196.4</v>
      </c>
      <c r="AP210">
        <v>181.9</v>
      </c>
      <c r="AQ210">
        <v>7.98</v>
      </c>
      <c r="AR210">
        <v>-87.1</v>
      </c>
      <c r="AS210">
        <v>11.9</v>
      </c>
      <c r="AT210">
        <v>0</v>
      </c>
      <c r="AU210">
        <v>23.346</v>
      </c>
      <c r="AV210">
        <v>2.57</v>
      </c>
      <c r="AW210">
        <v>0</v>
      </c>
      <c r="AX210">
        <v>-86.781764559999999</v>
      </c>
      <c r="AY210">
        <v>40.834882550000003</v>
      </c>
      <c r="AZ210">
        <f t="shared" si="9"/>
        <v>8</v>
      </c>
      <c r="BA210">
        <f t="shared" si="10"/>
        <v>14</v>
      </c>
      <c r="BB210">
        <f t="shared" si="11"/>
        <v>2024</v>
      </c>
      <c r="BD210" s="19">
        <v>45518</v>
      </c>
    </row>
    <row r="211" spans="1:56" x14ac:dyDescent="0.25">
      <c r="A211" s="25">
        <v>10476</v>
      </c>
      <c r="B211" t="s">
        <v>629</v>
      </c>
      <c r="C211" t="s">
        <v>629</v>
      </c>
      <c r="D211" s="27" t="s">
        <v>478</v>
      </c>
      <c r="E211" s="45">
        <v>8</v>
      </c>
      <c r="F211" s="58"/>
      <c r="G211">
        <v>5065</v>
      </c>
      <c r="H211" t="s">
        <v>18</v>
      </c>
      <c r="I211" t="s">
        <v>8</v>
      </c>
      <c r="J211">
        <v>1.09E-2</v>
      </c>
      <c r="K211">
        <v>1.3149999999999999</v>
      </c>
      <c r="L211">
        <v>0.29399999999999998</v>
      </c>
      <c r="M211">
        <v>0.05</v>
      </c>
      <c r="N211">
        <v>0.1166413793181294</v>
      </c>
      <c r="O211">
        <v>20.299999999999997</v>
      </c>
      <c r="P211">
        <v>3.06</v>
      </c>
      <c r="Q211" s="27">
        <v>2.6902354178464525</v>
      </c>
      <c r="R211" s="27">
        <v>0.71871320068954281</v>
      </c>
      <c r="S211" s="27">
        <v>132.45500000000001</v>
      </c>
      <c r="T211" s="27">
        <v>178.499</v>
      </c>
      <c r="U211" s="27">
        <v>208.06100000000001</v>
      </c>
      <c r="V211" s="27">
        <v>210.857</v>
      </c>
      <c r="W211" s="27">
        <v>174.685</v>
      </c>
      <c r="X211" s="27">
        <v>152.71700000000001</v>
      </c>
      <c r="Y211" s="27">
        <v>144.93199999999999</v>
      </c>
      <c r="Z211" s="27">
        <v>427.548</v>
      </c>
      <c r="AA211">
        <v>0.32500000000000001</v>
      </c>
      <c r="AB211">
        <v>747.8</v>
      </c>
      <c r="AC211">
        <v>620.20000000000005</v>
      </c>
      <c r="AD211">
        <v>633</v>
      </c>
      <c r="AE211">
        <v>411</v>
      </c>
      <c r="AF211">
        <v>0.31</v>
      </c>
      <c r="AG211">
        <v>634.29999999999995</v>
      </c>
      <c r="AH211">
        <v>0.32600000000000001</v>
      </c>
      <c r="AI211">
        <v>0.46200000000000002</v>
      </c>
      <c r="AJ211">
        <v>127</v>
      </c>
      <c r="AK211">
        <v>10.69</v>
      </c>
      <c r="AL211">
        <v>129.19999999999999</v>
      </c>
      <c r="AM211">
        <v>40.811039999999998</v>
      </c>
      <c r="AN211">
        <v>-86.794359999999998</v>
      </c>
      <c r="AO211">
        <v>201.4</v>
      </c>
      <c r="AP211">
        <v>216.2</v>
      </c>
      <c r="AQ211">
        <v>8.08</v>
      </c>
      <c r="AR211">
        <v>-92.9</v>
      </c>
      <c r="AS211">
        <v>12</v>
      </c>
      <c r="AT211">
        <v>0</v>
      </c>
      <c r="AU211">
        <v>23.939</v>
      </c>
      <c r="AV211">
        <v>3.54</v>
      </c>
      <c r="AW211">
        <v>0</v>
      </c>
      <c r="AX211">
        <v>-86.794299730000006</v>
      </c>
      <c r="AY211">
        <v>40.81108966</v>
      </c>
      <c r="AZ211">
        <f t="shared" si="9"/>
        <v>8</v>
      </c>
      <c r="BA211">
        <f t="shared" si="10"/>
        <v>14</v>
      </c>
      <c r="BB211">
        <f t="shared" si="11"/>
        <v>2024</v>
      </c>
      <c r="BD211" s="19">
        <v>45518</v>
      </c>
    </row>
    <row r="212" spans="1:56" x14ac:dyDescent="0.25">
      <c r="A212" s="25">
        <v>10477</v>
      </c>
      <c r="B212" t="s">
        <v>630</v>
      </c>
      <c r="C212" t="s">
        <v>630</v>
      </c>
      <c r="D212" s="27" t="s">
        <v>479</v>
      </c>
      <c r="E212" s="45">
        <v>9</v>
      </c>
      <c r="F212" s="58"/>
      <c r="G212">
        <v>3385</v>
      </c>
      <c r="H212" t="s">
        <v>18</v>
      </c>
      <c r="I212" t="s">
        <v>8</v>
      </c>
      <c r="J212">
        <v>1.4800000000000001E-2</v>
      </c>
      <c r="K212">
        <v>0.88400000000000001</v>
      </c>
      <c r="L212">
        <v>0.251</v>
      </c>
      <c r="M212">
        <v>0.05</v>
      </c>
      <c r="N212">
        <v>0.12233010762680738</v>
      </c>
      <c r="O212">
        <v>68.373333333333335</v>
      </c>
      <c r="P212">
        <v>3.5100000000000002</v>
      </c>
      <c r="Q212" s="27">
        <v>2.961754712401909</v>
      </c>
      <c r="R212" s="27">
        <v>0.83184871556617701</v>
      </c>
      <c r="S212" s="27">
        <v>170.666</v>
      </c>
      <c r="T212" s="27">
        <v>182.49700000000001</v>
      </c>
      <c r="U212" s="27">
        <v>269.71499999999997</v>
      </c>
      <c r="V212" s="27">
        <v>294.91300000000001</v>
      </c>
      <c r="W212" s="27">
        <v>270.77999999999997</v>
      </c>
      <c r="X212" s="27">
        <v>200.94499999999999</v>
      </c>
      <c r="Y212" s="27">
        <v>292.72399999999999</v>
      </c>
      <c r="Z212" s="27">
        <v>593.21</v>
      </c>
      <c r="AA212">
        <v>0.45200000000000001</v>
      </c>
      <c r="AB212">
        <v>747.7</v>
      </c>
      <c r="AC212">
        <v>570.9</v>
      </c>
      <c r="AD212">
        <v>570.70000000000005</v>
      </c>
      <c r="AE212">
        <v>371</v>
      </c>
      <c r="AF212">
        <v>0.28000000000000003</v>
      </c>
      <c r="AG212">
        <v>570.70000000000005</v>
      </c>
      <c r="AH212">
        <v>0.45500000000000002</v>
      </c>
      <c r="AI212">
        <v>0.64200000000000002</v>
      </c>
      <c r="AJ212">
        <v>215.3</v>
      </c>
      <c r="AK212">
        <v>17.760000000000002</v>
      </c>
      <c r="AL212">
        <v>218.9</v>
      </c>
      <c r="AM212">
        <v>40.804380000000002</v>
      </c>
      <c r="AN212">
        <v>-86.774929999999998</v>
      </c>
      <c r="AO212">
        <v>194.8</v>
      </c>
      <c r="AP212">
        <v>192.1</v>
      </c>
      <c r="AQ212">
        <v>8.1300000000000008</v>
      </c>
      <c r="AR212">
        <v>-96.3</v>
      </c>
      <c r="AS212">
        <v>11.9</v>
      </c>
      <c r="AT212">
        <v>0</v>
      </c>
      <c r="AU212">
        <v>25.016999999999999</v>
      </c>
      <c r="AV212">
        <v>3.95</v>
      </c>
      <c r="AW212">
        <v>0</v>
      </c>
      <c r="AX212">
        <v>-86.774830640000005</v>
      </c>
      <c r="AY212">
        <v>40.804242270000003</v>
      </c>
      <c r="AZ212">
        <f t="shared" si="9"/>
        <v>8</v>
      </c>
      <c r="BA212">
        <f t="shared" si="10"/>
        <v>14</v>
      </c>
      <c r="BB212">
        <f t="shared" si="11"/>
        <v>2024</v>
      </c>
      <c r="BD212" s="19">
        <v>45518</v>
      </c>
    </row>
    <row r="213" spans="1:56" x14ac:dyDescent="0.25">
      <c r="A213" s="25">
        <v>10478</v>
      </c>
      <c r="B213" t="s">
        <v>631</v>
      </c>
      <c r="C213" t="s">
        <v>631</v>
      </c>
      <c r="D213" s="27" t="s">
        <v>480</v>
      </c>
      <c r="E213" s="45">
        <v>10</v>
      </c>
      <c r="F213" s="58"/>
      <c r="G213">
        <v>2205</v>
      </c>
      <c r="H213" t="s">
        <v>18</v>
      </c>
      <c r="I213" t="s">
        <v>8</v>
      </c>
      <c r="J213">
        <v>1.67E-2</v>
      </c>
      <c r="K213">
        <v>1.0169999999999999</v>
      </c>
      <c r="L213">
        <v>0.26700000000000002</v>
      </c>
      <c r="M213">
        <v>0.05</v>
      </c>
      <c r="N213">
        <v>0.11774901030700957</v>
      </c>
      <c r="O213">
        <v>48.636666666666663</v>
      </c>
      <c r="P213">
        <v>7.8466666666666667</v>
      </c>
      <c r="Q213" s="27">
        <v>2.051222932340965</v>
      </c>
      <c r="R213" s="27">
        <v>0.62710168388694143</v>
      </c>
      <c r="S213" s="27">
        <v>166.71199999999999</v>
      </c>
      <c r="T213" s="27">
        <v>187.905</v>
      </c>
      <c r="U213" s="27">
        <v>253.71299999999999</v>
      </c>
      <c r="V213" s="27">
        <v>271.35199999999998</v>
      </c>
      <c r="W213" s="27">
        <v>255.874</v>
      </c>
      <c r="X213" s="27">
        <v>196.96</v>
      </c>
      <c r="Y213" s="27">
        <v>264.01100000000002</v>
      </c>
      <c r="Z213" s="27">
        <v>459.42599999999999</v>
      </c>
      <c r="AA213">
        <v>0.32600000000000001</v>
      </c>
      <c r="AB213">
        <v>747.8</v>
      </c>
      <c r="AC213">
        <v>581.70000000000005</v>
      </c>
      <c r="AD213">
        <v>582.79999999999995</v>
      </c>
      <c r="AE213">
        <v>379</v>
      </c>
      <c r="AF213">
        <v>0.28000000000000003</v>
      </c>
      <c r="AG213">
        <v>582.9</v>
      </c>
      <c r="AH213">
        <v>0.316</v>
      </c>
      <c r="AI213">
        <v>0.46200000000000002</v>
      </c>
      <c r="AJ213">
        <v>201.7</v>
      </c>
      <c r="AK213">
        <v>16.670000000000002</v>
      </c>
      <c r="AL213">
        <v>205.1</v>
      </c>
      <c r="AM213">
        <v>40.794600000000003</v>
      </c>
      <c r="AN213">
        <v>-86.774460000000005</v>
      </c>
      <c r="AO213">
        <v>196.2</v>
      </c>
      <c r="AP213">
        <v>237.7</v>
      </c>
      <c r="AQ213">
        <v>8.1199999999999992</v>
      </c>
      <c r="AR213">
        <v>-95.5</v>
      </c>
      <c r="AS213">
        <v>11.9</v>
      </c>
      <c r="AT213">
        <v>0</v>
      </c>
      <c r="AU213">
        <v>24.902999999999999</v>
      </c>
      <c r="AV213">
        <v>3.31</v>
      </c>
      <c r="AW213">
        <v>0</v>
      </c>
      <c r="AX213">
        <v>-86.774344880000001</v>
      </c>
      <c r="AY213">
        <v>40.794689409999997</v>
      </c>
      <c r="AZ213">
        <f t="shared" si="9"/>
        <v>8</v>
      </c>
      <c r="BA213">
        <f t="shared" si="10"/>
        <v>14</v>
      </c>
      <c r="BB213">
        <f t="shared" si="11"/>
        <v>2024</v>
      </c>
      <c r="BD213" s="19">
        <v>45518</v>
      </c>
    </row>
    <row r="214" spans="1:56" x14ac:dyDescent="0.25">
      <c r="A214" s="25">
        <v>10479</v>
      </c>
      <c r="B214" t="s">
        <v>632</v>
      </c>
      <c r="C214" t="s">
        <v>632</v>
      </c>
      <c r="D214" s="27" t="s">
        <v>481</v>
      </c>
      <c r="E214" s="45">
        <v>11</v>
      </c>
      <c r="F214" s="58"/>
      <c r="G214">
        <v>1385</v>
      </c>
      <c r="H214" t="s">
        <v>18</v>
      </c>
      <c r="I214" t="s">
        <v>8</v>
      </c>
      <c r="J214">
        <v>2.2100000000000002E-2</v>
      </c>
      <c r="K214">
        <v>0.79800000000000004</v>
      </c>
      <c r="L214">
        <v>0.3</v>
      </c>
      <c r="M214">
        <v>0.05</v>
      </c>
      <c r="N214">
        <v>9.9389825610324806E-2</v>
      </c>
      <c r="O214">
        <v>43</v>
      </c>
      <c r="P214">
        <v>7.83</v>
      </c>
      <c r="Q214" s="27">
        <v>2.7145052989240361</v>
      </c>
      <c r="R214" s="27">
        <v>0.67230207984240986</v>
      </c>
      <c r="S214" s="27">
        <v>154.51400000000001</v>
      </c>
      <c r="T214" s="27">
        <v>184.82599999999999</v>
      </c>
      <c r="U214" s="27">
        <v>249.26300000000001</v>
      </c>
      <c r="V214" s="27">
        <v>272.39800000000002</v>
      </c>
      <c r="W214" s="27">
        <v>261.161</v>
      </c>
      <c r="X214" s="27">
        <v>195.94200000000001</v>
      </c>
      <c r="Y214" s="27">
        <v>274.37200000000001</v>
      </c>
      <c r="Z214" s="27">
        <v>456.43200000000002</v>
      </c>
      <c r="AA214">
        <v>0.379</v>
      </c>
      <c r="AB214">
        <v>747.7</v>
      </c>
      <c r="AC214">
        <v>563.79999999999995</v>
      </c>
      <c r="AD214">
        <v>568.4</v>
      </c>
      <c r="AE214">
        <v>369</v>
      </c>
      <c r="AF214">
        <v>0.27</v>
      </c>
      <c r="AG214">
        <v>568.9</v>
      </c>
      <c r="AH214">
        <v>0.376</v>
      </c>
      <c r="AI214">
        <v>0.53800000000000003</v>
      </c>
      <c r="AJ214">
        <v>193.2</v>
      </c>
      <c r="AK214">
        <v>16.059999999999999</v>
      </c>
      <c r="AL214">
        <v>196.4</v>
      </c>
      <c r="AM214">
        <v>40.788710000000002</v>
      </c>
      <c r="AN214">
        <v>-86.771969999999996</v>
      </c>
      <c r="AO214">
        <v>201.6</v>
      </c>
      <c r="AP214">
        <v>209.6</v>
      </c>
      <c r="AQ214">
        <v>7.99</v>
      </c>
      <c r="AR214">
        <v>-87.8</v>
      </c>
      <c r="AS214">
        <v>11.9</v>
      </c>
      <c r="AT214">
        <v>0</v>
      </c>
      <c r="AU214">
        <v>24.574999999999999</v>
      </c>
      <c r="AV214">
        <v>3.94</v>
      </c>
      <c r="AW214">
        <v>0</v>
      </c>
      <c r="AX214">
        <v>-86.772130180000005</v>
      </c>
      <c r="AY214">
        <v>40.78862204</v>
      </c>
      <c r="AZ214">
        <f t="shared" si="9"/>
        <v>8</v>
      </c>
      <c r="BA214">
        <f t="shared" si="10"/>
        <v>14</v>
      </c>
      <c r="BB214">
        <f t="shared" si="11"/>
        <v>2024</v>
      </c>
      <c r="BD214" s="19">
        <v>45518</v>
      </c>
    </row>
    <row r="215" spans="1:56" x14ac:dyDescent="0.25">
      <c r="A215" s="25">
        <v>10480</v>
      </c>
      <c r="B215" t="s">
        <v>633</v>
      </c>
      <c r="C215" t="s">
        <v>633</v>
      </c>
      <c r="D215" s="27" t="s">
        <v>482</v>
      </c>
      <c r="E215" s="45">
        <v>12</v>
      </c>
      <c r="F215" s="58"/>
      <c r="G215">
        <v>275</v>
      </c>
      <c r="H215" t="s">
        <v>18</v>
      </c>
      <c r="I215" t="s">
        <v>8</v>
      </c>
      <c r="J215">
        <v>1.2999999999999999E-2</v>
      </c>
      <c r="K215">
        <v>1.0469999999999999</v>
      </c>
      <c r="L215">
        <v>0.27600000000000002</v>
      </c>
      <c r="M215">
        <v>0.05</v>
      </c>
      <c r="N215">
        <v>7.0473545801244611E-2</v>
      </c>
      <c r="O215">
        <v>38.050000000000004</v>
      </c>
      <c r="P215">
        <v>7.4766666666666666</v>
      </c>
      <c r="Q215" s="27">
        <v>3.4092306447698411</v>
      </c>
      <c r="R215" s="27">
        <v>0.9153887330910162</v>
      </c>
      <c r="S215" s="27">
        <v>131.35300000000001</v>
      </c>
      <c r="T215" s="27">
        <v>161.654</v>
      </c>
      <c r="U215" s="27">
        <v>225.453</v>
      </c>
      <c r="V215" s="27">
        <v>245.93199999999999</v>
      </c>
      <c r="W215" s="27">
        <v>234.97300000000001</v>
      </c>
      <c r="X215" s="27">
        <v>174.42</v>
      </c>
      <c r="Y215" s="27">
        <v>239.95099999999999</v>
      </c>
      <c r="Z215" s="27">
        <v>456.24099999999999</v>
      </c>
      <c r="AA215">
        <v>0.30199999999999999</v>
      </c>
      <c r="AB215">
        <v>747.8</v>
      </c>
      <c r="AC215">
        <v>574.1</v>
      </c>
      <c r="AD215">
        <v>581.79999999999995</v>
      </c>
      <c r="AE215">
        <v>378</v>
      </c>
      <c r="AF215">
        <v>0.28000000000000003</v>
      </c>
      <c r="AG215">
        <v>582.6</v>
      </c>
      <c r="AH215">
        <v>0.31</v>
      </c>
      <c r="AI215">
        <v>0.42899999999999999</v>
      </c>
      <c r="AJ215">
        <v>189.3</v>
      </c>
      <c r="AK215">
        <v>15.82</v>
      </c>
      <c r="AL215">
        <v>192.5</v>
      </c>
      <c r="AM215">
        <v>40.782519999999998</v>
      </c>
      <c r="AN215">
        <v>-86.762150000000005</v>
      </c>
      <c r="AO215">
        <v>197.3</v>
      </c>
      <c r="AP215">
        <v>230</v>
      </c>
      <c r="AQ215">
        <v>8.1199999999999992</v>
      </c>
      <c r="AR215">
        <v>-95.3</v>
      </c>
      <c r="AS215">
        <v>11.9</v>
      </c>
      <c r="AT215">
        <v>0</v>
      </c>
      <c r="AU215">
        <v>24.305</v>
      </c>
      <c r="AV215">
        <v>3.53</v>
      </c>
      <c r="AW215">
        <v>0</v>
      </c>
      <c r="AX215">
        <v>-86.762205379999997</v>
      </c>
      <c r="AY215">
        <v>40.782380209999999</v>
      </c>
      <c r="AZ215">
        <f t="shared" si="9"/>
        <v>8</v>
      </c>
      <c r="BA215">
        <f t="shared" si="10"/>
        <v>14</v>
      </c>
      <c r="BB215">
        <f t="shared" si="11"/>
        <v>2024</v>
      </c>
      <c r="BD215" s="19">
        <v>45518</v>
      </c>
    </row>
    <row r="216" spans="1:56" x14ac:dyDescent="0.25">
      <c r="A216" s="25">
        <v>10481</v>
      </c>
      <c r="B216" t="s">
        <v>634</v>
      </c>
      <c r="C216" t="s">
        <v>634</v>
      </c>
      <c r="D216" s="27" t="s">
        <v>483</v>
      </c>
      <c r="E216" s="45">
        <v>14</v>
      </c>
      <c r="F216" s="58"/>
      <c r="G216">
        <v>4225</v>
      </c>
      <c r="H216" t="s">
        <v>18</v>
      </c>
      <c r="I216" t="s">
        <v>8</v>
      </c>
      <c r="J216">
        <v>8.2000000000000007E-3</v>
      </c>
      <c r="K216">
        <v>1.2090000000000001</v>
      </c>
      <c r="L216">
        <v>0.311</v>
      </c>
      <c r="M216">
        <v>0.05</v>
      </c>
      <c r="N216" s="41">
        <v>0.15</v>
      </c>
      <c r="O216">
        <v>37.333333333333336</v>
      </c>
      <c r="P216">
        <v>4.54</v>
      </c>
      <c r="Q216" s="27">
        <v>2.8999002238222364</v>
      </c>
      <c r="R216" s="27">
        <v>0.96502845364925405</v>
      </c>
      <c r="S216" s="27">
        <v>163.078</v>
      </c>
      <c r="T216" s="27">
        <v>220.54499999999999</v>
      </c>
      <c r="U216" s="27">
        <v>294.233</v>
      </c>
      <c r="V216" s="27">
        <v>315.87900000000002</v>
      </c>
      <c r="W216" s="27">
        <v>278.17500000000001</v>
      </c>
      <c r="X216" s="27">
        <v>228.90199999999999</v>
      </c>
      <c r="Y216" s="27">
        <v>237.547</v>
      </c>
      <c r="Z216" s="27">
        <v>462.327</v>
      </c>
      <c r="AA216">
        <v>0.379</v>
      </c>
      <c r="AB216">
        <v>748</v>
      </c>
      <c r="AC216">
        <v>618.70000000000005</v>
      </c>
      <c r="AD216">
        <v>626.5</v>
      </c>
      <c r="AE216">
        <v>407</v>
      </c>
      <c r="AF216">
        <v>0.3</v>
      </c>
      <c r="AG216">
        <v>627.29999999999995</v>
      </c>
      <c r="AH216">
        <v>0.38100000000000001</v>
      </c>
      <c r="AI216">
        <v>0.53800000000000003</v>
      </c>
      <c r="AJ216">
        <v>144.4</v>
      </c>
      <c r="AK216">
        <v>12.05</v>
      </c>
      <c r="AL216">
        <v>146.80000000000001</v>
      </c>
      <c r="AM216">
        <v>40.807429999999997</v>
      </c>
      <c r="AN216">
        <v>-86.785520000000005</v>
      </c>
      <c r="AO216">
        <v>195.3</v>
      </c>
      <c r="AP216">
        <v>196.6</v>
      </c>
      <c r="AQ216">
        <v>8.1999999999999993</v>
      </c>
      <c r="AR216">
        <v>-100</v>
      </c>
      <c r="AS216">
        <v>11.9</v>
      </c>
      <c r="AT216">
        <v>0</v>
      </c>
      <c r="AU216">
        <v>24.344000000000001</v>
      </c>
      <c r="AV216">
        <v>3.28</v>
      </c>
      <c r="AW216">
        <v>0</v>
      </c>
      <c r="AX216">
        <v>-86.785247049999995</v>
      </c>
      <c r="AY216">
        <v>40.807313710000003</v>
      </c>
      <c r="AZ216">
        <f t="shared" si="9"/>
        <v>8</v>
      </c>
      <c r="BA216">
        <f t="shared" si="10"/>
        <v>14</v>
      </c>
      <c r="BB216">
        <f t="shared" si="11"/>
        <v>2024</v>
      </c>
      <c r="BD216" s="19">
        <v>45518</v>
      </c>
    </row>
    <row r="217" spans="1:56" x14ac:dyDescent="0.25">
      <c r="A217" s="25">
        <v>10482</v>
      </c>
      <c r="B217" t="s">
        <v>635</v>
      </c>
      <c r="C217" t="s">
        <v>635</v>
      </c>
      <c r="D217" s="27">
        <v>4115</v>
      </c>
      <c r="E217" s="45">
        <v>15</v>
      </c>
      <c r="F217" s="58"/>
      <c r="G217">
        <v>2905</v>
      </c>
      <c r="H217" t="s">
        <v>18</v>
      </c>
      <c r="I217" t="s">
        <v>8</v>
      </c>
      <c r="J217">
        <v>1.7299999999999999E-2</v>
      </c>
      <c r="K217">
        <v>1.0029999999999999</v>
      </c>
      <c r="L217">
        <v>0.29299999999999998</v>
      </c>
      <c r="M217">
        <v>0.05</v>
      </c>
      <c r="N217">
        <v>0.16389833669166579</v>
      </c>
      <c r="O217">
        <v>69.086666666666659</v>
      </c>
      <c r="P217">
        <v>8.1766666666666676</v>
      </c>
      <c r="Q217" s="27">
        <v>3.3188927540921718</v>
      </c>
      <c r="R217" s="27">
        <v>0.88996351036606525</v>
      </c>
      <c r="S217" s="27">
        <v>171.27099999999999</v>
      </c>
      <c r="T217" s="27">
        <v>189.72200000000001</v>
      </c>
      <c r="U217" s="27">
        <v>260.40499999999997</v>
      </c>
      <c r="V217" s="27">
        <v>288.86399999999998</v>
      </c>
      <c r="W217" s="27">
        <v>247.74700000000001</v>
      </c>
      <c r="X217" s="27">
        <v>196.62299999999999</v>
      </c>
      <c r="Y217" s="27">
        <v>223.74299999999999</v>
      </c>
      <c r="Z217" s="27">
        <v>481.41699999999997</v>
      </c>
      <c r="AA217">
        <v>0.377</v>
      </c>
      <c r="AB217">
        <v>747.8</v>
      </c>
      <c r="AC217">
        <v>580.5</v>
      </c>
      <c r="AD217">
        <v>582.6</v>
      </c>
      <c r="AE217">
        <v>379</v>
      </c>
      <c r="AF217">
        <v>0.28000000000000003</v>
      </c>
      <c r="AG217">
        <v>582.79999999999995</v>
      </c>
      <c r="AH217">
        <v>0.36799999999999999</v>
      </c>
      <c r="AI217">
        <v>0.53500000000000003</v>
      </c>
      <c r="AJ217">
        <v>198</v>
      </c>
      <c r="AK217">
        <v>16.39</v>
      </c>
      <c r="AL217">
        <v>201.3</v>
      </c>
      <c r="AM217">
        <v>40.799419999999998</v>
      </c>
      <c r="AN217">
        <v>-86.777810000000002</v>
      </c>
      <c r="AO217">
        <v>196</v>
      </c>
      <c r="AP217">
        <v>205.4</v>
      </c>
      <c r="AQ217">
        <v>8.16</v>
      </c>
      <c r="AR217">
        <v>-97.7</v>
      </c>
      <c r="AS217">
        <v>11.9</v>
      </c>
      <c r="AT217">
        <v>0</v>
      </c>
      <c r="AU217">
        <v>24.814</v>
      </c>
      <c r="AV217">
        <v>3.76</v>
      </c>
      <c r="AW217">
        <v>0</v>
      </c>
      <c r="AX217">
        <v>-86.777779629999998</v>
      </c>
      <c r="AY217">
        <v>40.799243930000003</v>
      </c>
      <c r="AZ217">
        <f t="shared" si="9"/>
        <v>8</v>
      </c>
      <c r="BA217">
        <f t="shared" si="10"/>
        <v>14</v>
      </c>
      <c r="BB217">
        <f t="shared" si="11"/>
        <v>2024</v>
      </c>
      <c r="BD217" s="19">
        <v>45518</v>
      </c>
    </row>
    <row r="218" spans="1:56" x14ac:dyDescent="0.25">
      <c r="A218" s="25">
        <v>10483</v>
      </c>
      <c r="B218" t="s">
        <v>657</v>
      </c>
      <c r="C218" t="s">
        <v>657</v>
      </c>
      <c r="D218" s="27" t="s">
        <v>456</v>
      </c>
      <c r="E218" s="45">
        <v>1</v>
      </c>
      <c r="F218" s="58"/>
      <c r="G218">
        <v>5999</v>
      </c>
      <c r="H218" t="s">
        <v>17</v>
      </c>
      <c r="I218" t="s">
        <v>8</v>
      </c>
      <c r="J218">
        <v>3.3999999999999998E-3</v>
      </c>
      <c r="K218">
        <v>8.3000000000000004E-2</v>
      </c>
      <c r="L218">
        <v>4.3999999999999997E-2</v>
      </c>
      <c r="N218">
        <v>0.3584226784785568</v>
      </c>
      <c r="O218">
        <v>34.326666666666668</v>
      </c>
      <c r="P218">
        <v>21.113333333333333</v>
      </c>
      <c r="Q218">
        <v>2.3569368817169205</v>
      </c>
      <c r="R218">
        <v>0.38243786982248518</v>
      </c>
      <c r="S218">
        <v>221.22499999999999</v>
      </c>
      <c r="T218">
        <v>192.13</v>
      </c>
      <c r="U218">
        <v>294.279</v>
      </c>
      <c r="V218">
        <v>351.46699999999998</v>
      </c>
      <c r="W218">
        <v>279.62700000000001</v>
      </c>
      <c r="X218">
        <v>226.34100000000001</v>
      </c>
      <c r="Y218">
        <v>305.98</v>
      </c>
      <c r="Z218">
        <v>440.33300000000003</v>
      </c>
      <c r="AA218">
        <v>0.47499999999999998</v>
      </c>
      <c r="AB218">
        <v>743.2</v>
      </c>
      <c r="AC218">
        <v>420.7</v>
      </c>
      <c r="AD218">
        <v>425.5</v>
      </c>
      <c r="AE218">
        <v>277</v>
      </c>
      <c r="AF218">
        <v>0.2</v>
      </c>
      <c r="AG218">
        <v>425.9</v>
      </c>
      <c r="AH218">
        <v>0.45600000000000002</v>
      </c>
      <c r="AI218">
        <v>0.67400000000000004</v>
      </c>
      <c r="AJ218">
        <v>108.2</v>
      </c>
      <c r="AK218">
        <v>9.0299999999999994</v>
      </c>
      <c r="AL218">
        <v>110.4</v>
      </c>
      <c r="AM218">
        <v>40.681620000000002</v>
      </c>
      <c r="AN218">
        <v>-85.889189999999999</v>
      </c>
      <c r="AO218">
        <v>226.3</v>
      </c>
      <c r="AP218">
        <v>28.5</v>
      </c>
      <c r="AQ218">
        <v>8.31</v>
      </c>
      <c r="AR218">
        <v>-101.3</v>
      </c>
      <c r="AS218">
        <v>12.1</v>
      </c>
      <c r="AT218">
        <v>0</v>
      </c>
      <c r="AU218">
        <v>24.42</v>
      </c>
      <c r="AV218">
        <v>4.78</v>
      </c>
      <c r="AW218">
        <v>0</v>
      </c>
      <c r="AX218">
        <v>-85.888892580000004</v>
      </c>
      <c r="AY218">
        <v>40.681489630000002</v>
      </c>
      <c r="AZ218">
        <f t="shared" si="9"/>
        <v>9</v>
      </c>
      <c r="BA218">
        <f t="shared" si="10"/>
        <v>12</v>
      </c>
      <c r="BB218">
        <f t="shared" si="11"/>
        <v>2024</v>
      </c>
      <c r="BD218" s="19">
        <v>45547</v>
      </c>
    </row>
    <row r="219" spans="1:56" x14ac:dyDescent="0.25">
      <c r="A219" s="25">
        <v>10484</v>
      </c>
      <c r="B219" s="28" t="s">
        <v>658</v>
      </c>
      <c r="C219" s="23" t="s">
        <v>658</v>
      </c>
      <c r="D219" s="60" t="s">
        <v>457</v>
      </c>
      <c r="E219" s="73">
        <v>2</v>
      </c>
      <c r="F219" s="58"/>
      <c r="G219">
        <v>8861</v>
      </c>
      <c r="H219" s="23" t="s">
        <v>17</v>
      </c>
      <c r="I219" s="23" t="s">
        <v>8</v>
      </c>
      <c r="J219">
        <v>-5.7999999999999996E-3</v>
      </c>
      <c r="K219">
        <v>5.5E-2</v>
      </c>
      <c r="L219">
        <v>-3.2000000000000001E-2</v>
      </c>
      <c r="N219">
        <v>0.42306217627462239</v>
      </c>
      <c r="O219">
        <v>32.99</v>
      </c>
      <c r="P219">
        <v>13.160000000000002</v>
      </c>
      <c r="Q219">
        <v>2.5305483898936068</v>
      </c>
      <c r="R219">
        <v>0.28957926953682928</v>
      </c>
      <c r="S219">
        <v>211.846</v>
      </c>
      <c r="T219">
        <v>184.387</v>
      </c>
      <c r="U219">
        <v>286.74400000000003</v>
      </c>
      <c r="V219">
        <v>355.34100000000001</v>
      </c>
      <c r="W219">
        <v>273.13799999999998</v>
      </c>
      <c r="X219">
        <v>213.393</v>
      </c>
      <c r="Y219">
        <v>292.88400000000001</v>
      </c>
      <c r="Z219">
        <v>413.339</v>
      </c>
      <c r="AA219">
        <v>0.66</v>
      </c>
      <c r="AB219">
        <v>742.9</v>
      </c>
      <c r="AC219">
        <v>415.7</v>
      </c>
      <c r="AD219">
        <v>419.3</v>
      </c>
      <c r="AE219">
        <v>273</v>
      </c>
      <c r="AF219">
        <v>0.2</v>
      </c>
      <c r="AG219">
        <v>419.7</v>
      </c>
      <c r="AH219">
        <v>0.68</v>
      </c>
      <c r="AI219">
        <v>0.93600000000000005</v>
      </c>
      <c r="AJ219">
        <v>151.30000000000001</v>
      </c>
      <c r="AK219">
        <v>12.59</v>
      </c>
      <c r="AL219">
        <v>154.30000000000001</v>
      </c>
      <c r="AM219">
        <v>40.677019999999999</v>
      </c>
      <c r="AN219">
        <v>-85.877300000000005</v>
      </c>
      <c r="AO219">
        <v>222.8</v>
      </c>
      <c r="AP219">
        <v>44.5</v>
      </c>
      <c r="AQ219">
        <v>8.65</v>
      </c>
      <c r="AR219">
        <v>-120.8</v>
      </c>
      <c r="AS219">
        <v>12.1</v>
      </c>
      <c r="AT219">
        <v>0</v>
      </c>
      <c r="AU219">
        <v>24.550999999999998</v>
      </c>
      <c r="AV219">
        <v>3.44</v>
      </c>
      <c r="AW219">
        <v>0</v>
      </c>
      <c r="AX219">
        <v>-85.877191120000006</v>
      </c>
      <c r="AY219">
        <v>40.676843499999997</v>
      </c>
      <c r="AZ219">
        <f t="shared" si="9"/>
        <v>9</v>
      </c>
      <c r="BA219">
        <f t="shared" si="10"/>
        <v>12</v>
      </c>
      <c r="BB219">
        <f t="shared" si="11"/>
        <v>2024</v>
      </c>
      <c r="BD219" s="19">
        <v>45547</v>
      </c>
    </row>
    <row r="220" spans="1:56" x14ac:dyDescent="0.25">
      <c r="A220" s="25">
        <v>10485</v>
      </c>
      <c r="B220" t="s">
        <v>647</v>
      </c>
      <c r="C220" t="s">
        <v>647</v>
      </c>
      <c r="D220" s="27" t="s">
        <v>458</v>
      </c>
      <c r="E220" s="45">
        <v>3</v>
      </c>
      <c r="F220" s="58"/>
      <c r="G220">
        <v>9921</v>
      </c>
      <c r="H220" t="s">
        <v>17</v>
      </c>
      <c r="I220" t="s">
        <v>8</v>
      </c>
      <c r="J220">
        <v>-4.0000000000000001E-3</v>
      </c>
      <c r="K220">
        <v>7.2999999999999995E-2</v>
      </c>
      <c r="L220">
        <v>0.04</v>
      </c>
      <c r="N220">
        <v>0.38920281579978688</v>
      </c>
      <c r="O220">
        <v>10.976666666666667</v>
      </c>
      <c r="P220">
        <v>0.97666666666666668</v>
      </c>
      <c r="Q220">
        <v>2.5113159773111602</v>
      </c>
      <c r="R220">
        <v>0.36282962660681495</v>
      </c>
      <c r="S220">
        <v>213.96199999999999</v>
      </c>
      <c r="T220">
        <v>194.41200000000001</v>
      </c>
      <c r="U220">
        <v>307.13900000000001</v>
      </c>
      <c r="V220">
        <v>372.37</v>
      </c>
      <c r="W220">
        <v>282.30799999999999</v>
      </c>
      <c r="X220">
        <v>225.47200000000001</v>
      </c>
      <c r="Y220">
        <v>291.98</v>
      </c>
      <c r="Z220">
        <v>388.73500000000001</v>
      </c>
      <c r="AA220">
        <v>0.436</v>
      </c>
      <c r="AB220">
        <v>742.9</v>
      </c>
      <c r="AC220">
        <v>422.8</v>
      </c>
      <c r="AD220">
        <v>422.3</v>
      </c>
      <c r="AE220">
        <v>274</v>
      </c>
      <c r="AF220">
        <v>0.2</v>
      </c>
      <c r="AG220">
        <v>422.2</v>
      </c>
      <c r="AH220">
        <v>0.56499999999999995</v>
      </c>
      <c r="AI220">
        <v>0.61799999999999999</v>
      </c>
      <c r="AJ220">
        <v>140</v>
      </c>
      <c r="AK220">
        <v>11.54</v>
      </c>
      <c r="AL220">
        <v>142.80000000000001</v>
      </c>
      <c r="AM220">
        <v>40.6708</v>
      </c>
      <c r="AN220">
        <v>-85.870660000000001</v>
      </c>
      <c r="AO220">
        <v>224</v>
      </c>
      <c r="AP220">
        <v>35.9</v>
      </c>
      <c r="AQ220">
        <v>8.6</v>
      </c>
      <c r="AR220">
        <v>-118.2</v>
      </c>
      <c r="AS220">
        <v>12.1</v>
      </c>
      <c r="AT220">
        <v>0</v>
      </c>
      <c r="AU220">
        <v>25.061</v>
      </c>
      <c r="AV220">
        <v>3.66</v>
      </c>
      <c r="AW220">
        <v>0</v>
      </c>
      <c r="AX220">
        <v>-85.870482910000007</v>
      </c>
      <c r="AY220">
        <v>40.670789169999999</v>
      </c>
      <c r="AZ220">
        <f t="shared" si="9"/>
        <v>9</v>
      </c>
      <c r="BA220">
        <f t="shared" si="10"/>
        <v>12</v>
      </c>
      <c r="BB220">
        <f t="shared" si="11"/>
        <v>2024</v>
      </c>
      <c r="BD220" s="19">
        <v>45547</v>
      </c>
    </row>
    <row r="221" spans="1:56" x14ac:dyDescent="0.25">
      <c r="A221" s="25">
        <v>10486</v>
      </c>
      <c r="B221" t="s">
        <v>654</v>
      </c>
      <c r="C221" t="s">
        <v>654</v>
      </c>
      <c r="D221" s="27" t="s">
        <v>459</v>
      </c>
      <c r="E221" s="45">
        <v>4</v>
      </c>
      <c r="F221" s="58"/>
      <c r="G221">
        <v>10891</v>
      </c>
      <c r="H221" t="s">
        <v>17</v>
      </c>
      <c r="I221" t="s">
        <v>8</v>
      </c>
      <c r="J221">
        <v>-3.2000000000000002E-3</v>
      </c>
      <c r="K221">
        <v>6.3E-2</v>
      </c>
      <c r="L221">
        <v>0.04</v>
      </c>
      <c r="N221">
        <v>0.41280759413621682</v>
      </c>
      <c r="O221">
        <v>16.91</v>
      </c>
      <c r="P221">
        <v>22.753333333333334</v>
      </c>
      <c r="Q221">
        <v>2.5695330099931617</v>
      </c>
      <c r="R221">
        <v>0.38025464190981439</v>
      </c>
      <c r="S221">
        <v>218.00700000000001</v>
      </c>
      <c r="T221">
        <v>181.62799999999999</v>
      </c>
      <c r="U221">
        <v>292.18799999999999</v>
      </c>
      <c r="V221">
        <v>365.47300000000001</v>
      </c>
      <c r="W221">
        <v>267.084</v>
      </c>
      <c r="X221">
        <v>217.03299999999999</v>
      </c>
      <c r="Y221">
        <v>286.20800000000003</v>
      </c>
      <c r="Z221">
        <v>406.14499999999998</v>
      </c>
      <c r="AA221">
        <v>0.49399999999999999</v>
      </c>
      <c r="AB221">
        <v>742.5</v>
      </c>
      <c r="AC221">
        <v>428.8</v>
      </c>
      <c r="AD221">
        <v>430.7</v>
      </c>
      <c r="AE221">
        <v>280</v>
      </c>
      <c r="AF221">
        <v>0.21</v>
      </c>
      <c r="AG221">
        <v>430.9</v>
      </c>
      <c r="AH221">
        <v>0.497</v>
      </c>
      <c r="AI221">
        <v>0.70099999999999996</v>
      </c>
      <c r="AJ221">
        <v>160.4</v>
      </c>
      <c r="AK221">
        <v>13.3</v>
      </c>
      <c r="AL221">
        <v>163.6</v>
      </c>
      <c r="AM221">
        <v>40.663249999999998</v>
      </c>
      <c r="AN221">
        <v>-85.867260000000002</v>
      </c>
      <c r="AO221">
        <v>223.1</v>
      </c>
      <c r="AP221">
        <v>33.6</v>
      </c>
      <c r="AQ221">
        <v>8.73</v>
      </c>
      <c r="AR221">
        <v>-125.8</v>
      </c>
      <c r="AS221">
        <v>12.1</v>
      </c>
      <c r="AT221">
        <v>0</v>
      </c>
      <c r="AU221">
        <v>24.771999999999998</v>
      </c>
      <c r="AV221">
        <v>3.86</v>
      </c>
      <c r="AW221">
        <v>0</v>
      </c>
      <c r="AX221">
        <v>-85.866744699999998</v>
      </c>
      <c r="AY221">
        <v>40.663222869999998</v>
      </c>
      <c r="AZ221">
        <f t="shared" si="9"/>
        <v>9</v>
      </c>
      <c r="BA221">
        <f t="shared" si="10"/>
        <v>12</v>
      </c>
      <c r="BB221">
        <f t="shared" si="11"/>
        <v>2024</v>
      </c>
      <c r="BD221" s="19">
        <v>45547</v>
      </c>
    </row>
    <row r="222" spans="1:56" x14ac:dyDescent="0.25">
      <c r="A222" s="25">
        <v>10487</v>
      </c>
      <c r="B222" t="s">
        <v>651</v>
      </c>
      <c r="C222" t="s">
        <v>651</v>
      </c>
      <c r="D222" s="27" t="s">
        <v>460</v>
      </c>
      <c r="E222" s="45">
        <v>5</v>
      </c>
      <c r="F222" s="58"/>
      <c r="G222">
        <v>12821</v>
      </c>
      <c r="H222" t="s">
        <v>17</v>
      </c>
      <c r="I222" t="s">
        <v>8</v>
      </c>
      <c r="J222">
        <v>-1.17E-2</v>
      </c>
      <c r="K222">
        <v>7.3999999999999996E-2</v>
      </c>
      <c r="L222">
        <v>6.2E-2</v>
      </c>
      <c r="N222">
        <v>0.29435794096450085</v>
      </c>
      <c r="O222">
        <v>16.239999999999998</v>
      </c>
      <c r="P222">
        <v>1.3566666666666667</v>
      </c>
      <c r="Q222">
        <v>2.5144347469191235</v>
      </c>
      <c r="R222">
        <v>0.38294796980208123</v>
      </c>
      <c r="S222">
        <v>216.34700000000001</v>
      </c>
      <c r="T222">
        <v>196.64</v>
      </c>
      <c r="U222">
        <v>317.69499999999999</v>
      </c>
      <c r="V222">
        <v>405.51799999999997</v>
      </c>
      <c r="W222">
        <v>297.00099999999998</v>
      </c>
      <c r="X222">
        <v>233.77500000000001</v>
      </c>
      <c r="Y222">
        <v>314.572</v>
      </c>
      <c r="Z222">
        <v>447.16199999999998</v>
      </c>
      <c r="AA222">
        <v>0.501</v>
      </c>
      <c r="AB222">
        <v>742.4</v>
      </c>
      <c r="AC222">
        <v>441.6</v>
      </c>
      <c r="AD222">
        <v>442.1</v>
      </c>
      <c r="AE222">
        <v>287</v>
      </c>
      <c r="AF222">
        <v>0.21</v>
      </c>
      <c r="AG222">
        <v>442.1</v>
      </c>
      <c r="AH222">
        <v>0.52800000000000002</v>
      </c>
      <c r="AI222">
        <v>0.71099999999999997</v>
      </c>
      <c r="AJ222">
        <v>172.5</v>
      </c>
      <c r="AK222">
        <v>14.25</v>
      </c>
      <c r="AL222">
        <v>175.9</v>
      </c>
      <c r="AM222">
        <v>40.668640000000003</v>
      </c>
      <c r="AN222">
        <v>-85.847759999999994</v>
      </c>
      <c r="AO222">
        <v>223.6</v>
      </c>
      <c r="AP222">
        <v>31.6</v>
      </c>
      <c r="AQ222">
        <v>8.8000000000000007</v>
      </c>
      <c r="AR222">
        <v>-130.1</v>
      </c>
      <c r="AS222">
        <v>12.1</v>
      </c>
      <c r="AT222">
        <v>0</v>
      </c>
      <c r="AU222">
        <v>24.945</v>
      </c>
      <c r="AV222">
        <v>4.87</v>
      </c>
      <c r="AW222">
        <v>0</v>
      </c>
      <c r="AX222">
        <v>-85.847719589999997</v>
      </c>
      <c r="AY222">
        <v>40.668682189999998</v>
      </c>
      <c r="AZ222">
        <f t="shared" si="9"/>
        <v>9</v>
      </c>
      <c r="BA222">
        <f t="shared" si="10"/>
        <v>12</v>
      </c>
      <c r="BB222">
        <f t="shared" si="11"/>
        <v>2024</v>
      </c>
      <c r="BD222" s="19">
        <v>45547</v>
      </c>
    </row>
    <row r="223" spans="1:56" x14ac:dyDescent="0.25">
      <c r="A223" s="25">
        <v>10488</v>
      </c>
      <c r="B223" t="s">
        <v>653</v>
      </c>
      <c r="C223" t="s">
        <v>653</v>
      </c>
      <c r="D223" s="27" t="s">
        <v>461</v>
      </c>
      <c r="E223" s="45">
        <v>6</v>
      </c>
      <c r="F223" s="58"/>
      <c r="G223">
        <v>14351</v>
      </c>
      <c r="H223" t="s">
        <v>17</v>
      </c>
      <c r="I223" t="s">
        <v>8</v>
      </c>
      <c r="J223">
        <v>-8.6999999999999994E-3</v>
      </c>
      <c r="K223">
        <v>6.7000000000000004E-2</v>
      </c>
      <c r="L223">
        <v>5.1999999999999998E-2</v>
      </c>
      <c r="N223">
        <v>0.35390388181158788</v>
      </c>
      <c r="O223">
        <v>7.3766666666666678</v>
      </c>
      <c r="P223">
        <v>2.2033333333333331</v>
      </c>
      <c r="Q223">
        <v>2.4946825394020156</v>
      </c>
      <c r="R223">
        <v>0.36348255458069784</v>
      </c>
      <c r="S223">
        <v>200.80600000000001</v>
      </c>
      <c r="T223">
        <v>195.19300000000001</v>
      </c>
      <c r="U223">
        <v>323.767</v>
      </c>
      <c r="V223">
        <v>416.88</v>
      </c>
      <c r="W223">
        <v>304.15199999999999</v>
      </c>
      <c r="X223">
        <v>242.24299999999999</v>
      </c>
      <c r="Y223">
        <v>318.09399999999999</v>
      </c>
      <c r="Z223">
        <v>404.48700000000002</v>
      </c>
      <c r="AA223" t="s">
        <v>706</v>
      </c>
      <c r="AB223" t="s">
        <v>706</v>
      </c>
      <c r="AC223" t="s">
        <v>706</v>
      </c>
      <c r="AD223" t="s">
        <v>706</v>
      </c>
      <c r="AE223" t="s">
        <v>706</v>
      </c>
      <c r="AF223" t="s">
        <v>706</v>
      </c>
      <c r="AG223" t="s">
        <v>706</v>
      </c>
      <c r="AH223" t="s">
        <v>706</v>
      </c>
      <c r="AI223" t="s">
        <v>706</v>
      </c>
      <c r="AJ223" t="s">
        <v>706</v>
      </c>
      <c r="AK223" t="s">
        <v>706</v>
      </c>
      <c r="AL223" t="s">
        <v>706</v>
      </c>
      <c r="AM223" t="s">
        <v>706</v>
      </c>
      <c r="AN223" t="s">
        <v>706</v>
      </c>
      <c r="AO223" t="s">
        <v>706</v>
      </c>
      <c r="AP223" t="s">
        <v>706</v>
      </c>
      <c r="AQ223" t="s">
        <v>706</v>
      </c>
      <c r="AR223" t="s">
        <v>706</v>
      </c>
      <c r="AS223" t="s">
        <v>706</v>
      </c>
      <c r="AT223" t="s">
        <v>706</v>
      </c>
      <c r="AU223" t="s">
        <v>706</v>
      </c>
      <c r="AV223" t="s">
        <v>706</v>
      </c>
      <c r="AW223" t="s">
        <v>706</v>
      </c>
      <c r="AX223">
        <v>-85.831979649999994</v>
      </c>
      <c r="AY223">
        <v>40.673674419999998</v>
      </c>
      <c r="AZ223">
        <f t="shared" si="9"/>
        <v>9</v>
      </c>
      <c r="BA223">
        <f t="shared" si="10"/>
        <v>12</v>
      </c>
      <c r="BB223">
        <f t="shared" si="11"/>
        <v>2024</v>
      </c>
      <c r="BD223" s="19">
        <v>45547</v>
      </c>
    </row>
    <row r="224" spans="1:56" x14ac:dyDescent="0.25">
      <c r="A224" s="25">
        <v>10489</v>
      </c>
      <c r="B224" t="s">
        <v>650</v>
      </c>
      <c r="C224" t="s">
        <v>650</v>
      </c>
      <c r="D224" s="27" t="s">
        <v>462</v>
      </c>
      <c r="E224" s="45">
        <v>7</v>
      </c>
      <c r="F224" s="58"/>
      <c r="G224">
        <v>6411</v>
      </c>
      <c r="H224" t="s">
        <v>17</v>
      </c>
      <c r="I224" t="s">
        <v>8</v>
      </c>
      <c r="J224">
        <v>0.30199999999999999</v>
      </c>
      <c r="K224">
        <v>0.10100000000000001</v>
      </c>
      <c r="L224">
        <v>0.108</v>
      </c>
      <c r="N224">
        <v>0.3582605412040839</v>
      </c>
      <c r="O224">
        <v>26.813333333333333</v>
      </c>
      <c r="P224">
        <v>3.7933333333333334</v>
      </c>
      <c r="Q224">
        <v>2.7530206219284019</v>
      </c>
      <c r="R224">
        <v>0.66011589471536425</v>
      </c>
      <c r="S224">
        <v>209.81800000000001</v>
      </c>
      <c r="T224">
        <v>190.392</v>
      </c>
      <c r="U224">
        <v>273.20499999999998</v>
      </c>
      <c r="V224">
        <v>324.55799999999999</v>
      </c>
      <c r="W224">
        <v>245.72200000000001</v>
      </c>
      <c r="X224">
        <v>204.607</v>
      </c>
      <c r="Y224">
        <v>267.233</v>
      </c>
      <c r="Z224">
        <v>357.19299999999998</v>
      </c>
      <c r="AA224">
        <v>0.39900000000000002</v>
      </c>
      <c r="AB224">
        <v>744.4</v>
      </c>
      <c r="AC224">
        <v>415.3</v>
      </c>
      <c r="AD224">
        <v>429.3</v>
      </c>
      <c r="AE224">
        <v>279</v>
      </c>
      <c r="AF224">
        <v>0.21</v>
      </c>
      <c r="AG224">
        <v>430.7</v>
      </c>
      <c r="AH224">
        <v>0.30299999999999999</v>
      </c>
      <c r="AI224">
        <v>0.56599999999999995</v>
      </c>
      <c r="AJ224">
        <v>67.2</v>
      </c>
      <c r="AK224">
        <v>5.73</v>
      </c>
      <c r="AL224">
        <v>68.5</v>
      </c>
      <c r="AM224">
        <v>40.687869999999997</v>
      </c>
      <c r="AN224">
        <v>-85.896649999999994</v>
      </c>
      <c r="AO224">
        <v>221.4</v>
      </c>
      <c r="AP224">
        <v>81.3</v>
      </c>
      <c r="AQ224">
        <v>7.75</v>
      </c>
      <c r="AR224">
        <v>-68.099999999999994</v>
      </c>
      <c r="AS224">
        <v>12.1</v>
      </c>
      <c r="AT224">
        <v>0</v>
      </c>
      <c r="AU224">
        <v>23.291</v>
      </c>
      <c r="AV224">
        <v>3.55</v>
      </c>
      <c r="AW224">
        <v>0</v>
      </c>
      <c r="AX224">
        <v>-85.896565350000003</v>
      </c>
      <c r="AY224">
        <v>40.687834090000003</v>
      </c>
      <c r="AZ224">
        <f t="shared" si="9"/>
        <v>9</v>
      </c>
      <c r="BA224">
        <f t="shared" si="10"/>
        <v>12</v>
      </c>
      <c r="BB224">
        <f t="shared" si="11"/>
        <v>2024</v>
      </c>
      <c r="BD224" s="19">
        <v>45547</v>
      </c>
    </row>
    <row r="225" spans="1:56" x14ac:dyDescent="0.25">
      <c r="A225" s="25">
        <v>10490</v>
      </c>
      <c r="B225" t="s">
        <v>655</v>
      </c>
      <c r="C225" t="s">
        <v>655</v>
      </c>
      <c r="D225" s="27" t="s">
        <v>463</v>
      </c>
      <c r="E225" s="45">
        <v>8</v>
      </c>
      <c r="F225" s="58"/>
      <c r="G225">
        <v>5401</v>
      </c>
      <c r="H225" t="s">
        <v>17</v>
      </c>
      <c r="I225" t="s">
        <v>8</v>
      </c>
      <c r="J225">
        <v>6.7999999999999996E-3</v>
      </c>
      <c r="K225">
        <v>7.8E-2</v>
      </c>
      <c r="L225">
        <v>7.0000000000000007E-2</v>
      </c>
      <c r="N225">
        <v>0.4191289565477625</v>
      </c>
      <c r="O225">
        <v>36.923333333333332</v>
      </c>
      <c r="P225">
        <v>6.6333333333333329</v>
      </c>
      <c r="Q225">
        <v>2.5799289086863766</v>
      </c>
      <c r="R225">
        <v>0.30080146908794125</v>
      </c>
      <c r="S225">
        <v>218.626</v>
      </c>
      <c r="T225">
        <v>197.78800000000001</v>
      </c>
      <c r="U225">
        <v>276.40899999999999</v>
      </c>
      <c r="V225">
        <v>303.976</v>
      </c>
      <c r="W225">
        <v>247.47399999999999</v>
      </c>
      <c r="X225">
        <v>207.80199999999999</v>
      </c>
      <c r="Y225">
        <v>277.846</v>
      </c>
      <c r="Z225">
        <v>394.6</v>
      </c>
      <c r="AA225">
        <v>0.42899999999999999</v>
      </c>
      <c r="AB225">
        <v>744.3</v>
      </c>
      <c r="AC225">
        <v>414.5</v>
      </c>
      <c r="AD225">
        <v>424.5</v>
      </c>
      <c r="AE225">
        <v>276</v>
      </c>
      <c r="AF225">
        <v>0.2</v>
      </c>
      <c r="AG225">
        <v>425.5</v>
      </c>
      <c r="AH225">
        <v>0.32</v>
      </c>
      <c r="AI225">
        <v>0.60799999999999998</v>
      </c>
      <c r="AJ225">
        <v>95.2</v>
      </c>
      <c r="AK225">
        <v>8.0399999999999991</v>
      </c>
      <c r="AL225">
        <v>97.1</v>
      </c>
      <c r="AM225">
        <v>40.691630000000004</v>
      </c>
      <c r="AN225">
        <v>-85.908469999999994</v>
      </c>
      <c r="AO225">
        <v>222.4</v>
      </c>
      <c r="AP225">
        <v>46.9</v>
      </c>
      <c r="AQ225">
        <v>8.16</v>
      </c>
      <c r="AR225">
        <v>-91.9</v>
      </c>
      <c r="AS225">
        <v>12.1</v>
      </c>
      <c r="AT225">
        <v>0</v>
      </c>
      <c r="AU225">
        <v>23.774999999999999</v>
      </c>
      <c r="AV225">
        <v>2.2200000000000002</v>
      </c>
      <c r="AW225">
        <v>0</v>
      </c>
      <c r="AX225">
        <v>-85.908397890000003</v>
      </c>
      <c r="AY225">
        <v>40.691622180000003</v>
      </c>
      <c r="AZ225">
        <f t="shared" si="9"/>
        <v>9</v>
      </c>
      <c r="BA225">
        <f t="shared" si="10"/>
        <v>12</v>
      </c>
      <c r="BB225">
        <f t="shared" si="11"/>
        <v>2024</v>
      </c>
      <c r="BD225" s="19">
        <v>45547</v>
      </c>
    </row>
    <row r="226" spans="1:56" x14ac:dyDescent="0.25">
      <c r="A226" s="25">
        <v>10491</v>
      </c>
      <c r="B226" t="s">
        <v>648</v>
      </c>
      <c r="C226" t="s">
        <v>648</v>
      </c>
      <c r="D226" s="27" t="s">
        <v>464</v>
      </c>
      <c r="E226" s="45">
        <v>9</v>
      </c>
      <c r="F226" s="58"/>
      <c r="G226">
        <v>4381</v>
      </c>
      <c r="H226" t="s">
        <v>17</v>
      </c>
      <c r="I226" t="s">
        <v>8</v>
      </c>
      <c r="J226">
        <v>-7.6E-3</v>
      </c>
      <c r="K226">
        <v>7.0999999999999994E-2</v>
      </c>
      <c r="L226">
        <v>4.2000000000000003E-2</v>
      </c>
      <c r="N226">
        <v>0.44788959654047</v>
      </c>
      <c r="O226">
        <v>34.120000000000005</v>
      </c>
      <c r="P226">
        <v>20.063333333333333</v>
      </c>
      <c r="Q226">
        <v>2.4650542281263537</v>
      </c>
      <c r="R226">
        <v>0.29685669591239883</v>
      </c>
      <c r="S226">
        <v>243.08699999999999</v>
      </c>
      <c r="T226">
        <v>233.01</v>
      </c>
      <c r="U226">
        <v>301.24400000000003</v>
      </c>
      <c r="V226">
        <v>338.64699999999999</v>
      </c>
      <c r="W226">
        <v>267.39699999999999</v>
      </c>
      <c r="X226">
        <v>233.357</v>
      </c>
      <c r="Y226">
        <v>298.55799999999999</v>
      </c>
      <c r="Z226">
        <v>403.69900000000001</v>
      </c>
      <c r="AA226">
        <v>0.34799999999999998</v>
      </c>
      <c r="AB226">
        <v>743.7</v>
      </c>
      <c r="AC226">
        <v>415.1</v>
      </c>
      <c r="AD226">
        <v>416.2</v>
      </c>
      <c r="AE226">
        <v>271</v>
      </c>
      <c r="AF226">
        <v>0.2</v>
      </c>
      <c r="AG226">
        <v>416.3</v>
      </c>
      <c r="AH226">
        <v>0.55100000000000005</v>
      </c>
      <c r="AI226">
        <v>0.49399999999999999</v>
      </c>
      <c r="AJ226">
        <v>138.5</v>
      </c>
      <c r="AK226">
        <v>11.46</v>
      </c>
      <c r="AL226">
        <v>141.19999999999999</v>
      </c>
      <c r="AM226">
        <v>40.703989999999997</v>
      </c>
      <c r="AN226">
        <v>-85.930949999999996</v>
      </c>
      <c r="AO226">
        <v>218.6</v>
      </c>
      <c r="AP226">
        <v>14.1</v>
      </c>
      <c r="AQ226">
        <v>8.58</v>
      </c>
      <c r="AR226">
        <v>-116.8</v>
      </c>
      <c r="AS226">
        <v>12.1</v>
      </c>
      <c r="AT226">
        <v>0</v>
      </c>
      <c r="AU226">
        <v>24.861999999999998</v>
      </c>
      <c r="AV226">
        <v>3.4</v>
      </c>
      <c r="AW226">
        <v>0</v>
      </c>
      <c r="AX226">
        <v>-85.930163379999996</v>
      </c>
      <c r="AY226">
        <v>40.704155909999997</v>
      </c>
      <c r="AZ226">
        <f t="shared" si="9"/>
        <v>9</v>
      </c>
      <c r="BA226">
        <f t="shared" si="10"/>
        <v>12</v>
      </c>
      <c r="BB226">
        <f t="shared" si="11"/>
        <v>2024</v>
      </c>
      <c r="BD226" s="19">
        <v>45547</v>
      </c>
    </row>
    <row r="227" spans="1:56" x14ac:dyDescent="0.25">
      <c r="A227" s="25">
        <v>10492</v>
      </c>
      <c r="B227" t="s">
        <v>652</v>
      </c>
      <c r="C227" t="s">
        <v>652</v>
      </c>
      <c r="D227" s="27" t="s">
        <v>465</v>
      </c>
      <c r="E227" s="45">
        <v>10</v>
      </c>
      <c r="F227" s="58"/>
      <c r="G227">
        <v>2851</v>
      </c>
      <c r="H227" t="s">
        <v>17</v>
      </c>
      <c r="I227" t="s">
        <v>8</v>
      </c>
      <c r="J227">
        <v>-5.3E-3</v>
      </c>
      <c r="K227">
        <v>6.4000000000000001E-2</v>
      </c>
      <c r="L227">
        <v>4.1000000000000002E-2</v>
      </c>
      <c r="N227">
        <v>0.36853153225184276</v>
      </c>
      <c r="O227">
        <v>26.900000000000002</v>
      </c>
      <c r="P227">
        <v>3.9866666666666668</v>
      </c>
      <c r="Q227">
        <v>2.3169126717480433</v>
      </c>
      <c r="R227">
        <v>0.28222022716452427</v>
      </c>
      <c r="S227">
        <v>231.70400000000001</v>
      </c>
      <c r="T227">
        <v>244.54499999999999</v>
      </c>
      <c r="U227">
        <v>317.83499999999998</v>
      </c>
      <c r="V227">
        <v>362.35599999999999</v>
      </c>
      <c r="W227">
        <v>278.46499999999997</v>
      </c>
      <c r="X227">
        <v>241.892</v>
      </c>
      <c r="Y227">
        <v>294.45100000000002</v>
      </c>
      <c r="Z227">
        <v>420.892</v>
      </c>
      <c r="AA227">
        <v>0.501</v>
      </c>
      <c r="AB227">
        <v>744.3</v>
      </c>
      <c r="AC227">
        <v>415.1</v>
      </c>
      <c r="AD227">
        <v>424.1</v>
      </c>
      <c r="AE227">
        <v>276</v>
      </c>
      <c r="AF227">
        <v>0.2</v>
      </c>
      <c r="AG227">
        <v>425</v>
      </c>
      <c r="AH227">
        <v>0.57699999999999996</v>
      </c>
      <c r="AI227">
        <v>0.71099999999999997</v>
      </c>
      <c r="AJ227">
        <v>96.6</v>
      </c>
      <c r="AK227">
        <v>8.14</v>
      </c>
      <c r="AL227">
        <v>98.5</v>
      </c>
      <c r="AM227">
        <v>40.693640000000002</v>
      </c>
      <c r="AN227">
        <v>-85.92089</v>
      </c>
      <c r="AO227">
        <v>220.4</v>
      </c>
      <c r="AP227">
        <v>41.2</v>
      </c>
      <c r="AQ227">
        <v>8.15</v>
      </c>
      <c r="AR227">
        <v>-91.7</v>
      </c>
      <c r="AS227">
        <v>12.1</v>
      </c>
      <c r="AT227">
        <v>0</v>
      </c>
      <c r="AU227">
        <v>23.885000000000002</v>
      </c>
      <c r="AV227">
        <v>2.66</v>
      </c>
      <c r="AW227">
        <v>0</v>
      </c>
      <c r="AX227">
        <v>-85.920288220000003</v>
      </c>
      <c r="AY227">
        <v>40.69342194</v>
      </c>
      <c r="AZ227">
        <f t="shared" si="9"/>
        <v>9</v>
      </c>
      <c r="BA227">
        <f t="shared" si="10"/>
        <v>12</v>
      </c>
      <c r="BB227">
        <f t="shared" si="11"/>
        <v>2024</v>
      </c>
      <c r="BD227" s="19">
        <v>45547</v>
      </c>
    </row>
    <row r="228" spans="1:56" x14ac:dyDescent="0.25">
      <c r="A228" s="25">
        <v>10493</v>
      </c>
      <c r="B228" t="s">
        <v>646</v>
      </c>
      <c r="C228" t="s">
        <v>646</v>
      </c>
      <c r="D228" s="27" t="s">
        <v>466</v>
      </c>
      <c r="E228" s="45">
        <v>11</v>
      </c>
      <c r="F228" s="58"/>
      <c r="G228">
        <v>1731</v>
      </c>
      <c r="H228" t="s">
        <v>17</v>
      </c>
      <c r="I228" t="s">
        <v>8</v>
      </c>
      <c r="J228">
        <v>-1.6000000000000001E-3</v>
      </c>
      <c r="K228">
        <v>7.2999999999999995E-2</v>
      </c>
      <c r="L228">
        <v>4.4999999999999998E-2</v>
      </c>
      <c r="N228">
        <v>0.38725942788022782</v>
      </c>
      <c r="O228">
        <v>20.326666666666664</v>
      </c>
      <c r="P228">
        <v>1.2433333333333334</v>
      </c>
      <c r="Q228">
        <v>2.4073569903790117</v>
      </c>
      <c r="R228">
        <v>0.35607590287696389</v>
      </c>
      <c r="S228">
        <v>249.09200000000001</v>
      </c>
      <c r="T228">
        <v>229.744</v>
      </c>
      <c r="U228">
        <v>301.18099999999998</v>
      </c>
      <c r="V228">
        <v>337.70100000000002</v>
      </c>
      <c r="W228">
        <v>270.17399999999998</v>
      </c>
      <c r="X228">
        <v>232.12700000000001</v>
      </c>
      <c r="Y228">
        <v>297.80799999999999</v>
      </c>
      <c r="Z228">
        <v>410.07400000000001</v>
      </c>
      <c r="AA228">
        <v>0.51700000000000002</v>
      </c>
      <c r="AB228">
        <v>743.9</v>
      </c>
      <c r="AC228">
        <v>407.9</v>
      </c>
      <c r="AD228">
        <v>409.6</v>
      </c>
      <c r="AE228">
        <v>266</v>
      </c>
      <c r="AF228">
        <v>0.2</v>
      </c>
      <c r="AG228">
        <v>409.8</v>
      </c>
      <c r="AH228">
        <v>0.81599999999999995</v>
      </c>
      <c r="AI228">
        <v>0.73299999999999998</v>
      </c>
      <c r="AJ228">
        <v>154.1</v>
      </c>
      <c r="AK228">
        <v>12.76</v>
      </c>
      <c r="AL228">
        <v>157.1</v>
      </c>
      <c r="AM228">
        <v>40.711060000000003</v>
      </c>
      <c r="AN228">
        <v>-85.938900000000004</v>
      </c>
      <c r="AO228">
        <v>221.8</v>
      </c>
      <c r="AP228">
        <v>35.4</v>
      </c>
      <c r="AQ228">
        <v>8.6199999999999992</v>
      </c>
      <c r="AR228">
        <v>-119.6</v>
      </c>
      <c r="AS228">
        <v>12.1</v>
      </c>
      <c r="AT228">
        <v>0</v>
      </c>
      <c r="AU228">
        <v>24.774999999999999</v>
      </c>
      <c r="AV228">
        <v>3.67</v>
      </c>
      <c r="AW228">
        <v>0</v>
      </c>
      <c r="AX228">
        <v>-85.938684039999998</v>
      </c>
      <c r="AY228">
        <v>40.710971909999998</v>
      </c>
      <c r="AZ228">
        <f t="shared" si="9"/>
        <v>9</v>
      </c>
      <c r="BA228">
        <f t="shared" si="10"/>
        <v>12</v>
      </c>
      <c r="BB228">
        <f t="shared" si="11"/>
        <v>2024</v>
      </c>
      <c r="BD228" s="19">
        <v>45547</v>
      </c>
    </row>
    <row r="229" spans="1:56" x14ac:dyDescent="0.25">
      <c r="A229" s="25">
        <v>10494</v>
      </c>
      <c r="B229" t="s">
        <v>656</v>
      </c>
      <c r="C229" t="s">
        <v>656</v>
      </c>
      <c r="D229" s="27" t="s">
        <v>467</v>
      </c>
      <c r="E229" s="45">
        <v>12</v>
      </c>
      <c r="F229" s="58"/>
      <c r="G229">
        <v>661</v>
      </c>
      <c r="H229" t="s">
        <v>17</v>
      </c>
      <c r="I229" t="s">
        <v>8</v>
      </c>
      <c r="J229">
        <v>4.3E-3</v>
      </c>
      <c r="K229">
        <v>0.14399999999999999</v>
      </c>
      <c r="L229">
        <v>6.3E-2</v>
      </c>
      <c r="N229">
        <v>0.26707086336659086</v>
      </c>
      <c r="O229">
        <v>18.626666666666669</v>
      </c>
      <c r="P229">
        <v>1.41</v>
      </c>
      <c r="Q229">
        <v>2.4536187395638178</v>
      </c>
      <c r="R229">
        <v>0.36397225056111004</v>
      </c>
      <c r="S229">
        <v>228.24299999999999</v>
      </c>
      <c r="T229">
        <v>230.93299999999999</v>
      </c>
      <c r="U229">
        <v>329.90899999999999</v>
      </c>
      <c r="V229">
        <v>376.142</v>
      </c>
      <c r="W229">
        <v>306.32400000000001</v>
      </c>
      <c r="X229">
        <v>237.87200000000001</v>
      </c>
      <c r="Y229">
        <v>334.16199999999998</v>
      </c>
      <c r="Z229">
        <v>339.42899999999997</v>
      </c>
      <c r="AA229">
        <v>0.60199999999999998</v>
      </c>
      <c r="AB229">
        <v>744.1</v>
      </c>
      <c r="AC229">
        <v>408</v>
      </c>
      <c r="AD229">
        <v>412.9</v>
      </c>
      <c r="AE229">
        <v>268</v>
      </c>
      <c r="AF229">
        <v>0.2</v>
      </c>
      <c r="AG229">
        <v>413.4</v>
      </c>
      <c r="AH229">
        <v>0.60499999999999998</v>
      </c>
      <c r="AI229">
        <v>0.85399999999999998</v>
      </c>
      <c r="AJ229">
        <v>158.80000000000001</v>
      </c>
      <c r="AK229">
        <v>13.26</v>
      </c>
      <c r="AL229">
        <v>161.9</v>
      </c>
      <c r="AM229">
        <v>40.71163</v>
      </c>
      <c r="AN229">
        <v>-85.951160000000002</v>
      </c>
      <c r="AO229">
        <v>227.9</v>
      </c>
      <c r="AP229">
        <v>30.5</v>
      </c>
      <c r="AQ229">
        <v>8.64</v>
      </c>
      <c r="AR229">
        <v>-120.7</v>
      </c>
      <c r="AS229">
        <v>12.1</v>
      </c>
      <c r="AT229">
        <v>0</v>
      </c>
      <c r="AU229">
        <v>24.372</v>
      </c>
      <c r="AV229">
        <v>2.91</v>
      </c>
      <c r="AW229">
        <v>0</v>
      </c>
      <c r="AX229">
        <v>-85.951000649999997</v>
      </c>
      <c r="AY229">
        <v>40.711607979999997</v>
      </c>
      <c r="AZ229">
        <f t="shared" si="9"/>
        <v>9</v>
      </c>
      <c r="BA229">
        <f t="shared" si="10"/>
        <v>12</v>
      </c>
      <c r="BB229">
        <f t="shared" si="11"/>
        <v>2024</v>
      </c>
      <c r="BD229" s="19">
        <v>45547</v>
      </c>
    </row>
    <row r="230" spans="1:56" x14ac:dyDescent="0.25">
      <c r="A230" s="25">
        <v>10495</v>
      </c>
      <c r="B230" t="s">
        <v>649</v>
      </c>
      <c r="C230" t="s">
        <v>649</v>
      </c>
      <c r="D230" s="27" t="s">
        <v>468</v>
      </c>
      <c r="E230" s="45">
        <v>13</v>
      </c>
      <c r="F230" s="58"/>
      <c r="G230">
        <v>13553</v>
      </c>
      <c r="H230" t="s">
        <v>17</v>
      </c>
      <c r="I230" t="s">
        <v>8</v>
      </c>
      <c r="J230">
        <v>-3.8E-3</v>
      </c>
      <c r="K230">
        <v>7.0000000000000007E-2</v>
      </c>
      <c r="L230">
        <v>4.1000000000000002E-2</v>
      </c>
      <c r="N230">
        <v>0.33612507180850809</v>
      </c>
      <c r="O230">
        <v>22.26</v>
      </c>
      <c r="P230">
        <v>6.12</v>
      </c>
      <c r="Q230">
        <v>2.5201524912003919</v>
      </c>
      <c r="R230">
        <v>0.37522165544446712</v>
      </c>
      <c r="S230">
        <v>203.62299999999999</v>
      </c>
      <c r="T230">
        <v>195.392</v>
      </c>
      <c r="U230">
        <v>321.11399999999998</v>
      </c>
      <c r="V230">
        <v>407.18299999999999</v>
      </c>
      <c r="W230">
        <v>303.84500000000003</v>
      </c>
      <c r="X230">
        <v>237.13200000000001</v>
      </c>
      <c r="Y230">
        <v>323.44600000000003</v>
      </c>
      <c r="Z230">
        <v>428.89699999999999</v>
      </c>
      <c r="AA230" t="s">
        <v>706</v>
      </c>
      <c r="AB230" t="s">
        <v>706</v>
      </c>
      <c r="AC230" t="s">
        <v>706</v>
      </c>
      <c r="AD230" t="s">
        <v>706</v>
      </c>
      <c r="AE230" t="s">
        <v>706</v>
      </c>
      <c r="AF230" t="s">
        <v>706</v>
      </c>
      <c r="AG230" t="s">
        <v>706</v>
      </c>
      <c r="AH230" t="s">
        <v>706</v>
      </c>
      <c r="AI230" t="s">
        <v>706</v>
      </c>
      <c r="AJ230" t="s">
        <v>706</v>
      </c>
      <c r="AK230" t="s">
        <v>706</v>
      </c>
      <c r="AL230" t="s">
        <v>706</v>
      </c>
      <c r="AM230" t="s">
        <v>706</v>
      </c>
      <c r="AN230" t="s">
        <v>706</v>
      </c>
      <c r="AO230" t="s">
        <v>706</v>
      </c>
      <c r="AP230" t="s">
        <v>706</v>
      </c>
      <c r="AQ230" t="s">
        <v>706</v>
      </c>
      <c r="AR230" t="s">
        <v>706</v>
      </c>
      <c r="AS230" t="s">
        <v>706</v>
      </c>
      <c r="AT230" t="s">
        <v>706</v>
      </c>
      <c r="AU230" t="s">
        <v>706</v>
      </c>
      <c r="AV230" t="s">
        <v>706</v>
      </c>
      <c r="AW230" t="s">
        <v>706</v>
      </c>
      <c r="AX230">
        <v>-85.84154934</v>
      </c>
      <c r="AY230">
        <v>40.672506980000001</v>
      </c>
      <c r="AZ230">
        <f t="shared" si="9"/>
        <v>9</v>
      </c>
      <c r="BA230">
        <f t="shared" si="10"/>
        <v>12</v>
      </c>
      <c r="BB230">
        <f t="shared" si="11"/>
        <v>2024</v>
      </c>
      <c r="BD230" s="19">
        <v>45547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5FE48-39B4-4E41-8BDA-6572D8F6A2F5}">
  <dimension ref="A1:AC98"/>
  <sheetViews>
    <sheetView topLeftCell="K1" workbookViewId="0">
      <selection activeCell="E2" sqref="E2:AC6"/>
    </sheetView>
  </sheetViews>
  <sheetFormatPr defaultRowHeight="15" x14ac:dyDescent="0.25"/>
  <cols>
    <col min="1" max="1" width="14.85546875" bestFit="1" customWidth="1"/>
  </cols>
  <sheetData>
    <row r="1" spans="1:29" x14ac:dyDescent="0.25">
      <c r="A1" s="127">
        <v>45518.514814814815</v>
      </c>
      <c r="B1" t="s">
        <v>716</v>
      </c>
      <c r="C1">
        <v>-86.807147639999997</v>
      </c>
      <c r="D1">
        <v>40.835024840000003</v>
      </c>
      <c r="E1">
        <v>0.45200000000000001</v>
      </c>
      <c r="F1">
        <v>747.8</v>
      </c>
      <c r="G1">
        <v>555.79999999999995</v>
      </c>
      <c r="H1">
        <v>551.20000000000005</v>
      </c>
      <c r="I1">
        <v>358</v>
      </c>
      <c r="J1">
        <v>0.27</v>
      </c>
      <c r="K1">
        <v>550.70000000000005</v>
      </c>
      <c r="L1">
        <v>0.45800000000000002</v>
      </c>
      <c r="M1">
        <v>0.64</v>
      </c>
      <c r="N1">
        <v>182.2</v>
      </c>
      <c r="O1">
        <v>14.91</v>
      </c>
      <c r="P1">
        <v>185.3</v>
      </c>
      <c r="Q1">
        <v>40.83502</v>
      </c>
      <c r="R1">
        <v>-86.807220000000001</v>
      </c>
      <c r="S1">
        <v>196.9</v>
      </c>
      <c r="T1">
        <v>187</v>
      </c>
      <c r="U1">
        <v>8.1</v>
      </c>
      <c r="V1">
        <v>-94.3</v>
      </c>
      <c r="W1">
        <v>11.9</v>
      </c>
      <c r="X1">
        <v>0</v>
      </c>
      <c r="Y1">
        <v>25.439</v>
      </c>
      <c r="Z1">
        <v>6.96</v>
      </c>
      <c r="AA1">
        <v>0</v>
      </c>
      <c r="AB1">
        <v>-86.807147639999997</v>
      </c>
      <c r="AC1">
        <v>40.835024840000003</v>
      </c>
    </row>
    <row r="2" spans="1:29" x14ac:dyDescent="0.25">
      <c r="A2" s="127">
        <v>45518.415925925925</v>
      </c>
      <c r="B2" t="s">
        <v>709</v>
      </c>
      <c r="C2">
        <v>-86.774344880000001</v>
      </c>
      <c r="D2">
        <v>40.794689409999997</v>
      </c>
      <c r="E2">
        <v>0.32600000000000001</v>
      </c>
      <c r="F2">
        <v>747.8</v>
      </c>
      <c r="G2">
        <v>581.70000000000005</v>
      </c>
      <c r="H2">
        <v>582.79999999999995</v>
      </c>
      <c r="I2">
        <v>379</v>
      </c>
      <c r="J2">
        <v>0.28000000000000003</v>
      </c>
      <c r="K2">
        <v>582.9</v>
      </c>
      <c r="L2">
        <v>0.316</v>
      </c>
      <c r="M2">
        <v>0.46200000000000002</v>
      </c>
      <c r="N2">
        <v>201.7</v>
      </c>
      <c r="O2">
        <v>16.670000000000002</v>
      </c>
      <c r="P2">
        <v>205.1</v>
      </c>
      <c r="Q2">
        <v>40.794600000000003</v>
      </c>
      <c r="R2">
        <v>-86.774460000000005</v>
      </c>
      <c r="S2">
        <v>196.2</v>
      </c>
      <c r="T2">
        <v>237.7</v>
      </c>
      <c r="U2">
        <v>8.1199999999999992</v>
      </c>
      <c r="V2">
        <v>-95.5</v>
      </c>
      <c r="W2">
        <v>11.9</v>
      </c>
      <c r="X2">
        <v>0</v>
      </c>
      <c r="Y2">
        <v>24.902999999999999</v>
      </c>
      <c r="Z2">
        <v>3.31</v>
      </c>
      <c r="AA2">
        <v>0</v>
      </c>
      <c r="AB2">
        <v>-86.774344880000001</v>
      </c>
      <c r="AC2">
        <v>40.794689409999997</v>
      </c>
    </row>
    <row r="3" spans="1:29" x14ac:dyDescent="0.25">
      <c r="A3" s="127">
        <v>45518.391724537039</v>
      </c>
      <c r="B3" t="s">
        <v>707</v>
      </c>
      <c r="C3">
        <v>-86.772130180000005</v>
      </c>
      <c r="D3">
        <v>40.78862204</v>
      </c>
      <c r="E3">
        <v>0.379</v>
      </c>
      <c r="F3">
        <v>747.7</v>
      </c>
      <c r="G3">
        <v>563.79999999999995</v>
      </c>
      <c r="H3">
        <v>568.4</v>
      </c>
      <c r="I3">
        <v>369</v>
      </c>
      <c r="J3">
        <v>0.27</v>
      </c>
      <c r="K3">
        <v>568.9</v>
      </c>
      <c r="L3">
        <v>0.376</v>
      </c>
      <c r="M3">
        <v>0.53800000000000003</v>
      </c>
      <c r="N3">
        <v>193.2</v>
      </c>
      <c r="O3">
        <v>16.059999999999999</v>
      </c>
      <c r="P3">
        <v>196.4</v>
      </c>
      <c r="Q3">
        <v>40.788710000000002</v>
      </c>
      <c r="R3">
        <v>-86.771969999999996</v>
      </c>
      <c r="S3">
        <v>201.6</v>
      </c>
      <c r="T3">
        <v>209.6</v>
      </c>
      <c r="U3">
        <v>7.99</v>
      </c>
      <c r="V3">
        <v>-87.8</v>
      </c>
      <c r="W3">
        <v>11.9</v>
      </c>
      <c r="X3">
        <v>0</v>
      </c>
      <c r="Y3">
        <v>24.574999999999999</v>
      </c>
      <c r="Z3">
        <v>3.94</v>
      </c>
      <c r="AA3">
        <v>0</v>
      </c>
      <c r="AB3">
        <v>-86.772130180000005</v>
      </c>
      <c r="AC3">
        <v>40.78862204</v>
      </c>
    </row>
    <row r="4" spans="1:29" x14ac:dyDescent="0.25">
      <c r="A4" s="127">
        <v>45518.40252314815</v>
      </c>
      <c r="B4" t="s">
        <v>708</v>
      </c>
      <c r="C4">
        <v>-86.762205379999997</v>
      </c>
      <c r="D4">
        <v>40.782380209999999</v>
      </c>
      <c r="E4">
        <v>0.30199999999999999</v>
      </c>
      <c r="F4">
        <v>747.8</v>
      </c>
      <c r="G4">
        <v>574.1</v>
      </c>
      <c r="H4">
        <v>581.79999999999995</v>
      </c>
      <c r="I4">
        <v>378</v>
      </c>
      <c r="J4">
        <v>0.28000000000000003</v>
      </c>
      <c r="K4">
        <v>582.6</v>
      </c>
      <c r="L4">
        <v>0.31</v>
      </c>
      <c r="M4">
        <v>0.42899999999999999</v>
      </c>
      <c r="N4">
        <v>189.3</v>
      </c>
      <c r="O4">
        <v>15.82</v>
      </c>
      <c r="P4">
        <v>192.5</v>
      </c>
      <c r="Q4">
        <v>40.782519999999998</v>
      </c>
      <c r="R4">
        <v>-86.762150000000005</v>
      </c>
      <c r="S4">
        <v>197.3</v>
      </c>
      <c r="T4">
        <v>230</v>
      </c>
      <c r="U4">
        <v>8.1199999999999992</v>
      </c>
      <c r="V4">
        <v>-95.3</v>
      </c>
      <c r="W4">
        <v>11.9</v>
      </c>
      <c r="X4">
        <v>0</v>
      </c>
      <c r="Y4">
        <v>24.305</v>
      </c>
      <c r="Z4">
        <v>3.53</v>
      </c>
      <c r="AA4">
        <v>0</v>
      </c>
      <c r="AB4">
        <v>-86.762205379999997</v>
      </c>
      <c r="AC4">
        <v>40.782380209999999</v>
      </c>
    </row>
    <row r="5" spans="1:29" x14ac:dyDescent="0.25">
      <c r="A5" s="127">
        <v>45518.47011574074</v>
      </c>
      <c r="B5" t="s">
        <v>712</v>
      </c>
      <c r="C5">
        <v>-86.785247049999995</v>
      </c>
      <c r="D5">
        <v>40.807313710000003</v>
      </c>
      <c r="E5">
        <v>0.379</v>
      </c>
      <c r="F5">
        <v>748</v>
      </c>
      <c r="G5">
        <v>618.70000000000005</v>
      </c>
      <c r="H5">
        <v>626.5</v>
      </c>
      <c r="I5">
        <v>407</v>
      </c>
      <c r="J5">
        <v>0.3</v>
      </c>
      <c r="K5">
        <v>627.29999999999995</v>
      </c>
      <c r="L5">
        <v>0.38100000000000001</v>
      </c>
      <c r="M5">
        <v>0.53800000000000003</v>
      </c>
      <c r="N5">
        <v>144.4</v>
      </c>
      <c r="O5">
        <v>12.05</v>
      </c>
      <c r="P5">
        <v>146.80000000000001</v>
      </c>
      <c r="Q5">
        <v>40.807429999999997</v>
      </c>
      <c r="R5">
        <v>-86.785520000000005</v>
      </c>
      <c r="S5">
        <v>195.3</v>
      </c>
      <c r="T5">
        <v>196.6</v>
      </c>
      <c r="U5">
        <v>8.1999999999999993</v>
      </c>
      <c r="V5">
        <v>-100</v>
      </c>
      <c r="W5">
        <v>11.9</v>
      </c>
      <c r="X5">
        <v>0</v>
      </c>
      <c r="Y5">
        <v>24.344000000000001</v>
      </c>
      <c r="Z5">
        <v>3.28</v>
      </c>
      <c r="AA5">
        <v>0</v>
      </c>
      <c r="AB5">
        <v>-86.785247049999995</v>
      </c>
      <c r="AC5">
        <v>40.807313710000003</v>
      </c>
    </row>
    <row r="6" spans="1:29" x14ac:dyDescent="0.25">
      <c r="A6" s="127">
        <v>45518.434629629628</v>
      </c>
      <c r="B6" t="s">
        <v>710</v>
      </c>
      <c r="C6">
        <v>-86.777779629999998</v>
      </c>
      <c r="D6">
        <v>40.799243930000003</v>
      </c>
      <c r="E6">
        <v>0.377</v>
      </c>
      <c r="F6">
        <v>747.8</v>
      </c>
      <c r="G6">
        <v>580.5</v>
      </c>
      <c r="H6">
        <v>582.6</v>
      </c>
      <c r="I6">
        <v>379</v>
      </c>
      <c r="J6">
        <v>0.28000000000000003</v>
      </c>
      <c r="K6">
        <v>582.79999999999995</v>
      </c>
      <c r="L6">
        <v>0.36799999999999999</v>
      </c>
      <c r="M6">
        <v>0.53500000000000003</v>
      </c>
      <c r="N6">
        <v>198</v>
      </c>
      <c r="O6">
        <v>16.39</v>
      </c>
      <c r="P6">
        <v>201.3</v>
      </c>
      <c r="Q6">
        <v>40.799419999999998</v>
      </c>
      <c r="R6">
        <v>-86.777810000000002</v>
      </c>
      <c r="S6">
        <v>196</v>
      </c>
      <c r="T6">
        <v>205.4</v>
      </c>
      <c r="U6">
        <v>8.16</v>
      </c>
      <c r="V6">
        <v>-97.7</v>
      </c>
      <c r="W6">
        <v>11.9</v>
      </c>
      <c r="X6">
        <v>0</v>
      </c>
      <c r="Y6">
        <v>24.814</v>
      </c>
      <c r="Z6">
        <v>3.76</v>
      </c>
      <c r="AA6">
        <v>0</v>
      </c>
      <c r="AB6">
        <v>-86.777779629999998</v>
      </c>
      <c r="AC6">
        <v>40.799243930000003</v>
      </c>
    </row>
    <row r="7" spans="1:29" x14ac:dyDescent="0.25">
      <c r="A7" s="127">
        <v>45518.493692129632</v>
      </c>
      <c r="B7" t="s">
        <v>715</v>
      </c>
      <c r="C7">
        <v>-86.795836289999997</v>
      </c>
      <c r="D7">
        <v>40.823874850000003</v>
      </c>
      <c r="E7">
        <v>0.38</v>
      </c>
      <c r="F7">
        <v>747.9</v>
      </c>
      <c r="G7">
        <v>535.79999999999995</v>
      </c>
      <c r="H7">
        <v>534.70000000000005</v>
      </c>
      <c r="I7">
        <v>348</v>
      </c>
      <c r="J7">
        <v>0.26</v>
      </c>
      <c r="K7">
        <v>534.5</v>
      </c>
      <c r="L7">
        <v>0.36699999999999999</v>
      </c>
      <c r="M7">
        <v>0.53900000000000003</v>
      </c>
      <c r="N7">
        <v>220.4</v>
      </c>
      <c r="O7">
        <v>18.149999999999999</v>
      </c>
      <c r="P7">
        <v>224.1</v>
      </c>
      <c r="Q7">
        <v>40.823869999999999</v>
      </c>
      <c r="R7">
        <v>-86.795940000000002</v>
      </c>
      <c r="S7">
        <v>198.3</v>
      </c>
      <c r="T7">
        <v>214.4</v>
      </c>
      <c r="U7">
        <v>8.2100000000000009</v>
      </c>
      <c r="V7">
        <v>-100.9</v>
      </c>
      <c r="W7">
        <v>11.9</v>
      </c>
      <c r="X7">
        <v>0</v>
      </c>
      <c r="Y7">
        <v>25.114000000000001</v>
      </c>
      <c r="Z7">
        <v>4.6100000000000003</v>
      </c>
      <c r="AA7">
        <v>0</v>
      </c>
      <c r="AB7">
        <v>-86.795836289999997</v>
      </c>
      <c r="AC7">
        <v>40.823874850000003</v>
      </c>
    </row>
    <row r="8" spans="1:29" x14ac:dyDescent="0.25">
      <c r="A8" s="127">
        <v>45518.539340277777</v>
      </c>
      <c r="B8" t="s">
        <v>714</v>
      </c>
      <c r="C8">
        <v>-86.781764559999999</v>
      </c>
      <c r="D8">
        <v>40.834882550000003</v>
      </c>
      <c r="E8">
        <v>0.45600000000000002</v>
      </c>
      <c r="F8">
        <v>747.7</v>
      </c>
      <c r="G8">
        <v>626</v>
      </c>
      <c r="H8">
        <v>646.4</v>
      </c>
      <c r="I8">
        <v>420</v>
      </c>
      <c r="J8">
        <v>0.31</v>
      </c>
      <c r="K8">
        <v>648.5</v>
      </c>
      <c r="L8">
        <v>0.45</v>
      </c>
      <c r="M8">
        <v>0.64800000000000002</v>
      </c>
      <c r="N8">
        <v>103.4</v>
      </c>
      <c r="O8">
        <v>8.7899999999999991</v>
      </c>
      <c r="P8">
        <v>105.2</v>
      </c>
      <c r="Q8">
        <v>40.834949999999999</v>
      </c>
      <c r="R8">
        <v>-86.781940000000006</v>
      </c>
      <c r="S8">
        <v>196.4</v>
      </c>
      <c r="T8">
        <v>181.9</v>
      </c>
      <c r="U8">
        <v>7.98</v>
      </c>
      <c r="V8">
        <v>-87.1</v>
      </c>
      <c r="W8">
        <v>11.9</v>
      </c>
      <c r="X8">
        <v>0</v>
      </c>
      <c r="Y8">
        <v>23.346</v>
      </c>
      <c r="Z8">
        <v>2.57</v>
      </c>
      <c r="AA8">
        <v>0</v>
      </c>
      <c r="AB8">
        <v>-86.781764559999999</v>
      </c>
      <c r="AC8">
        <v>40.834882550000003</v>
      </c>
    </row>
    <row r="9" spans="1:29" x14ac:dyDescent="0.25">
      <c r="A9" s="127">
        <v>45518.482615740744</v>
      </c>
      <c r="B9" t="s">
        <v>713</v>
      </c>
      <c r="C9">
        <v>-86.794299730000006</v>
      </c>
      <c r="D9">
        <v>40.81108966</v>
      </c>
      <c r="E9">
        <v>0.32500000000000001</v>
      </c>
      <c r="F9">
        <v>747.8</v>
      </c>
      <c r="G9">
        <v>620.20000000000005</v>
      </c>
      <c r="H9">
        <v>633</v>
      </c>
      <c r="I9">
        <v>411</v>
      </c>
      <c r="J9">
        <v>0.31</v>
      </c>
      <c r="K9">
        <v>634.29999999999995</v>
      </c>
      <c r="L9">
        <v>0.32600000000000001</v>
      </c>
      <c r="M9">
        <v>0.46200000000000002</v>
      </c>
      <c r="N9">
        <v>127</v>
      </c>
      <c r="O9">
        <v>10.69</v>
      </c>
      <c r="P9">
        <v>129.19999999999999</v>
      </c>
      <c r="Q9">
        <v>40.811039999999998</v>
      </c>
      <c r="R9">
        <v>-86.794359999999998</v>
      </c>
      <c r="S9">
        <v>201.4</v>
      </c>
      <c r="T9">
        <v>216.2</v>
      </c>
      <c r="U9">
        <v>8.08</v>
      </c>
      <c r="V9">
        <v>-92.9</v>
      </c>
      <c r="W9">
        <v>12</v>
      </c>
      <c r="X9">
        <v>0</v>
      </c>
      <c r="Y9">
        <v>23.939</v>
      </c>
      <c r="Z9">
        <v>3.54</v>
      </c>
      <c r="AA9">
        <v>0</v>
      </c>
      <c r="AB9">
        <v>-86.794299730000006</v>
      </c>
      <c r="AC9">
        <v>40.81108966</v>
      </c>
    </row>
    <row r="10" spans="1:29" x14ac:dyDescent="0.25">
      <c r="A10" s="127">
        <v>45518.450972222221</v>
      </c>
      <c r="B10" t="s">
        <v>711</v>
      </c>
      <c r="C10">
        <v>-86.774830640000005</v>
      </c>
      <c r="D10">
        <v>40.804242270000003</v>
      </c>
      <c r="E10">
        <v>0.45200000000000001</v>
      </c>
      <c r="F10">
        <v>747.7</v>
      </c>
      <c r="G10">
        <v>570.9</v>
      </c>
      <c r="H10">
        <v>570.70000000000005</v>
      </c>
      <c r="I10">
        <v>371</v>
      </c>
      <c r="J10">
        <v>0.28000000000000003</v>
      </c>
      <c r="K10">
        <v>570.70000000000005</v>
      </c>
      <c r="L10">
        <v>0.45500000000000002</v>
      </c>
      <c r="M10">
        <v>0.64200000000000002</v>
      </c>
      <c r="N10">
        <v>215.3</v>
      </c>
      <c r="O10">
        <v>17.760000000000002</v>
      </c>
      <c r="P10">
        <v>218.9</v>
      </c>
      <c r="Q10">
        <v>40.804380000000002</v>
      </c>
      <c r="R10">
        <v>-86.774929999999998</v>
      </c>
      <c r="S10">
        <v>194.8</v>
      </c>
      <c r="T10">
        <v>192.1</v>
      </c>
      <c r="U10">
        <v>8.1300000000000008</v>
      </c>
      <c r="V10">
        <v>-96.3</v>
      </c>
      <c r="W10">
        <v>11.9</v>
      </c>
      <c r="X10">
        <v>0</v>
      </c>
      <c r="Y10">
        <v>25.016999999999999</v>
      </c>
      <c r="Z10">
        <v>3.95</v>
      </c>
      <c r="AA10">
        <v>0</v>
      </c>
      <c r="AB10">
        <v>-86.774830640000005</v>
      </c>
      <c r="AC10">
        <v>40.804242270000003</v>
      </c>
    </row>
    <row r="11" spans="1:29" x14ac:dyDescent="0.25">
      <c r="A11" s="127"/>
    </row>
    <row r="12" spans="1:29" ht="10.5" customHeight="1" x14ac:dyDescent="0.25">
      <c r="A12" s="127"/>
    </row>
    <row r="13" spans="1:29" ht="10.5" customHeight="1" x14ac:dyDescent="0.25">
      <c r="A13" s="127"/>
    </row>
    <row r="14" spans="1:29" ht="10.5" customHeight="1" x14ac:dyDescent="0.25">
      <c r="A14" s="127"/>
    </row>
    <row r="15" spans="1:29" ht="10.5" customHeight="1" x14ac:dyDescent="0.25">
      <c r="A15" s="127"/>
    </row>
    <row r="16" spans="1:29" ht="10.5" customHeight="1" x14ac:dyDescent="0.25">
      <c r="A16" s="127"/>
    </row>
    <row r="17" spans="1:1" ht="10.5" customHeight="1" x14ac:dyDescent="0.25">
      <c r="A17" s="127"/>
    </row>
    <row r="18" spans="1:1" ht="10.5" customHeight="1" x14ac:dyDescent="0.25">
      <c r="A18" s="127"/>
    </row>
    <row r="19" spans="1:1" ht="10.5" customHeight="1" x14ac:dyDescent="0.25">
      <c r="A19" s="127"/>
    </row>
    <row r="20" spans="1:1" ht="10.5" customHeight="1" x14ac:dyDescent="0.25">
      <c r="A20" s="127"/>
    </row>
    <row r="21" spans="1:1" ht="10.5" customHeight="1" x14ac:dyDescent="0.25">
      <c r="A21" s="127"/>
    </row>
    <row r="22" spans="1:1" ht="10.5" customHeight="1" x14ac:dyDescent="0.25">
      <c r="A22" s="127"/>
    </row>
    <row r="23" spans="1:1" ht="10.5" customHeight="1" x14ac:dyDescent="0.25">
      <c r="A23" s="127"/>
    </row>
    <row r="24" spans="1:1" ht="10.5" customHeight="1" x14ac:dyDescent="0.25">
      <c r="A24" s="127"/>
    </row>
    <row r="25" spans="1:1" ht="10.5" customHeight="1" x14ac:dyDescent="0.25">
      <c r="A25" s="127"/>
    </row>
    <row r="26" spans="1:1" ht="10.5" customHeight="1" x14ac:dyDescent="0.25">
      <c r="A26" s="127"/>
    </row>
    <row r="27" spans="1:1" ht="10.5" customHeight="1" x14ac:dyDescent="0.25">
      <c r="A27" s="127"/>
    </row>
    <row r="28" spans="1:1" ht="10.5" customHeight="1" x14ac:dyDescent="0.25">
      <c r="A28" s="127"/>
    </row>
    <row r="29" spans="1:1" ht="10.5" customHeight="1" x14ac:dyDescent="0.25">
      <c r="A29" s="127"/>
    </row>
    <row r="30" spans="1:1" ht="10.5" customHeight="1" x14ac:dyDescent="0.25">
      <c r="A30" s="127"/>
    </row>
    <row r="31" spans="1:1" ht="10.5" customHeight="1" x14ac:dyDescent="0.25">
      <c r="A31" s="127"/>
    </row>
    <row r="32" spans="1:1" ht="10.5" customHeight="1" x14ac:dyDescent="0.25">
      <c r="A32" s="127"/>
    </row>
    <row r="33" spans="1:1" ht="10.5" customHeight="1" x14ac:dyDescent="0.25">
      <c r="A33" s="127"/>
    </row>
    <row r="34" spans="1:1" ht="10.5" customHeight="1" x14ac:dyDescent="0.25">
      <c r="A34" s="127"/>
    </row>
    <row r="35" spans="1:1" ht="10.5" customHeight="1" x14ac:dyDescent="0.25">
      <c r="A35" s="127"/>
    </row>
    <row r="36" spans="1:1" ht="10.5" customHeight="1" x14ac:dyDescent="0.25">
      <c r="A36" s="127"/>
    </row>
    <row r="37" spans="1:1" ht="10.5" customHeight="1" x14ac:dyDescent="0.25"/>
    <row r="38" spans="1:1" ht="10.5" customHeight="1" x14ac:dyDescent="0.25">
      <c r="A38" s="127"/>
    </row>
    <row r="39" spans="1:1" ht="10.5" customHeight="1" x14ac:dyDescent="0.25">
      <c r="A39" s="127"/>
    </row>
    <row r="40" spans="1:1" ht="10.5" customHeight="1" x14ac:dyDescent="0.25">
      <c r="A40" s="127"/>
    </row>
    <row r="41" spans="1:1" ht="10.5" customHeight="1" x14ac:dyDescent="0.25">
      <c r="A41" s="127"/>
    </row>
    <row r="42" spans="1:1" ht="10.5" customHeight="1" x14ac:dyDescent="0.25">
      <c r="A42" s="127"/>
    </row>
    <row r="43" spans="1:1" ht="10.5" customHeight="1" x14ac:dyDescent="0.25">
      <c r="A43" s="127"/>
    </row>
    <row r="44" spans="1:1" ht="10.5" customHeight="1" x14ac:dyDescent="0.25">
      <c r="A44" s="127"/>
    </row>
    <row r="45" spans="1:1" ht="10.5" customHeight="1" x14ac:dyDescent="0.25">
      <c r="A45" s="127"/>
    </row>
    <row r="46" spans="1:1" ht="10.5" customHeight="1" x14ac:dyDescent="0.25">
      <c r="A46" s="127"/>
    </row>
    <row r="47" spans="1:1" ht="10.5" customHeight="1" x14ac:dyDescent="0.25">
      <c r="A47" s="127"/>
    </row>
    <row r="48" spans="1:1" ht="10.5" customHeight="1" x14ac:dyDescent="0.25">
      <c r="A48" s="127"/>
    </row>
    <row r="49" spans="1:1" ht="10.5" customHeight="1" x14ac:dyDescent="0.25">
      <c r="A49" s="127"/>
    </row>
    <row r="50" spans="1:1" ht="10.5" customHeight="1" x14ac:dyDescent="0.25"/>
    <row r="51" spans="1:1" ht="10.5" customHeight="1" x14ac:dyDescent="0.25">
      <c r="A51" s="127"/>
    </row>
    <row r="52" spans="1:1" ht="10.5" customHeight="1" x14ac:dyDescent="0.25">
      <c r="A52" s="127"/>
    </row>
    <row r="53" spans="1:1" ht="10.5" customHeight="1" x14ac:dyDescent="0.25">
      <c r="A53" s="127"/>
    </row>
    <row r="54" spans="1:1" ht="10.5" customHeight="1" x14ac:dyDescent="0.25">
      <c r="A54" s="127"/>
    </row>
    <row r="55" spans="1:1" ht="10.5" customHeight="1" x14ac:dyDescent="0.25">
      <c r="A55" s="127"/>
    </row>
    <row r="56" spans="1:1" ht="10.5" customHeight="1" x14ac:dyDescent="0.25">
      <c r="A56" s="127"/>
    </row>
    <row r="57" spans="1:1" ht="10.5" customHeight="1" x14ac:dyDescent="0.25">
      <c r="A57" s="127"/>
    </row>
    <row r="58" spans="1:1" ht="10.5" customHeight="1" x14ac:dyDescent="0.25">
      <c r="A58" s="127"/>
    </row>
    <row r="59" spans="1:1" ht="10.5" customHeight="1" x14ac:dyDescent="0.25">
      <c r="A59" s="127"/>
    </row>
    <row r="60" spans="1:1" ht="10.5" customHeight="1" x14ac:dyDescent="0.25">
      <c r="A60" s="127"/>
    </row>
    <row r="61" spans="1:1" ht="10.5" customHeight="1" x14ac:dyDescent="0.25">
      <c r="A61" s="127"/>
    </row>
    <row r="62" spans="1:1" ht="10.5" customHeight="1" x14ac:dyDescent="0.25">
      <c r="A62" s="127"/>
    </row>
    <row r="63" spans="1:1" ht="10.5" customHeight="1" x14ac:dyDescent="0.25">
      <c r="A63" s="127"/>
    </row>
    <row r="64" spans="1:1" ht="10.5" customHeight="1" x14ac:dyDescent="0.25">
      <c r="A64" s="127"/>
    </row>
    <row r="65" spans="1:1" ht="10.5" customHeight="1" x14ac:dyDescent="0.25">
      <c r="A65" s="127"/>
    </row>
    <row r="66" spans="1:1" ht="10.5" customHeight="1" x14ac:dyDescent="0.25">
      <c r="A66" s="127"/>
    </row>
    <row r="67" spans="1:1" ht="10.5" customHeight="1" x14ac:dyDescent="0.25">
      <c r="A67" s="127"/>
    </row>
    <row r="68" spans="1:1" ht="10.5" customHeight="1" x14ac:dyDescent="0.25">
      <c r="A68" s="127"/>
    </row>
    <row r="69" spans="1:1" ht="10.5" customHeight="1" x14ac:dyDescent="0.25">
      <c r="A69" s="127"/>
    </row>
    <row r="70" spans="1:1" ht="10.5" customHeight="1" x14ac:dyDescent="0.25">
      <c r="A70" s="127"/>
    </row>
    <row r="71" spans="1:1" ht="10.5" customHeight="1" x14ac:dyDescent="0.25">
      <c r="A71" s="127"/>
    </row>
    <row r="72" spans="1:1" x14ac:dyDescent="0.25">
      <c r="A72" s="127"/>
    </row>
    <row r="73" spans="1:1" x14ac:dyDescent="0.25">
      <c r="A73" s="127"/>
    </row>
    <row r="74" spans="1:1" x14ac:dyDescent="0.25">
      <c r="A74" s="127"/>
    </row>
    <row r="75" spans="1:1" x14ac:dyDescent="0.25">
      <c r="A75" s="127"/>
    </row>
    <row r="76" spans="1:1" x14ac:dyDescent="0.25">
      <c r="A76" s="127"/>
    </row>
    <row r="77" spans="1:1" x14ac:dyDescent="0.25">
      <c r="A77" s="127"/>
    </row>
    <row r="78" spans="1:1" x14ac:dyDescent="0.25">
      <c r="A78" s="127"/>
    </row>
    <row r="79" spans="1:1" x14ac:dyDescent="0.25">
      <c r="A79" s="127"/>
    </row>
    <row r="80" spans="1:1" x14ac:dyDescent="0.25">
      <c r="A80" s="127"/>
    </row>
    <row r="81" spans="1:1" x14ac:dyDescent="0.25">
      <c r="A81" s="127"/>
    </row>
    <row r="82" spans="1:1" x14ac:dyDescent="0.25">
      <c r="A82" s="127"/>
    </row>
    <row r="83" spans="1:1" x14ac:dyDescent="0.25">
      <c r="A83" s="127"/>
    </row>
    <row r="84" spans="1:1" x14ac:dyDescent="0.25">
      <c r="A84" s="127"/>
    </row>
    <row r="85" spans="1:1" x14ac:dyDescent="0.25">
      <c r="A85" s="127"/>
    </row>
    <row r="86" spans="1:1" x14ac:dyDescent="0.25">
      <c r="A86" s="127"/>
    </row>
    <row r="87" spans="1:1" x14ac:dyDescent="0.25">
      <c r="A87" s="127"/>
    </row>
    <row r="88" spans="1:1" x14ac:dyDescent="0.25">
      <c r="A88" s="127"/>
    </row>
    <row r="89" spans="1:1" x14ac:dyDescent="0.25">
      <c r="A89" s="127"/>
    </row>
    <row r="90" spans="1:1" x14ac:dyDescent="0.25">
      <c r="A90" s="127"/>
    </row>
    <row r="91" spans="1:1" x14ac:dyDescent="0.25">
      <c r="A91" s="127"/>
    </row>
    <row r="92" spans="1:1" x14ac:dyDescent="0.25">
      <c r="A92" s="127"/>
    </row>
    <row r="93" spans="1:1" x14ac:dyDescent="0.25">
      <c r="A93" s="127"/>
    </row>
    <row r="94" spans="1:1" x14ac:dyDescent="0.25">
      <c r="A94" s="127"/>
    </row>
    <row r="95" spans="1:1" x14ac:dyDescent="0.25">
      <c r="A95" s="127"/>
    </row>
    <row r="96" spans="1:1" x14ac:dyDescent="0.25">
      <c r="A96" s="127"/>
    </row>
    <row r="97" spans="1:1" x14ac:dyDescent="0.25">
      <c r="A97" s="127"/>
    </row>
    <row r="98" spans="1:1" x14ac:dyDescent="0.25">
      <c r="A98" s="127"/>
    </row>
  </sheetData>
  <sortState xmlns:xlrd2="http://schemas.microsoft.com/office/spreadsheetml/2017/richdata2" ref="A1:AC10">
    <sortCondition ref="B1:B1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EC8D7-6E77-4717-96AE-A15F0F67AB4B}">
  <dimension ref="A1:P18"/>
  <sheetViews>
    <sheetView workbookViewId="0">
      <selection activeCell="K29" sqref="K29"/>
    </sheetView>
  </sheetViews>
  <sheetFormatPr defaultRowHeight="15" x14ac:dyDescent="0.25"/>
  <sheetData>
    <row r="1" spans="1:16" x14ac:dyDescent="0.25">
      <c r="A1" t="s">
        <v>674</v>
      </c>
      <c r="F1" t="s">
        <v>675</v>
      </c>
      <c r="K1" t="s">
        <v>676</v>
      </c>
    </row>
    <row r="2" spans="1:16" x14ac:dyDescent="0.25">
      <c r="A2" t="s">
        <v>677</v>
      </c>
      <c r="B2" t="s">
        <v>678</v>
      </c>
      <c r="F2" t="s">
        <v>677</v>
      </c>
      <c r="G2" t="s">
        <v>678</v>
      </c>
      <c r="K2" t="s">
        <v>677</v>
      </c>
      <c r="L2" t="s">
        <v>678</v>
      </c>
    </row>
    <row r="3" spans="1:16" x14ac:dyDescent="0.25">
      <c r="A3">
        <v>1</v>
      </c>
      <c r="B3">
        <v>5999</v>
      </c>
      <c r="F3">
        <v>1</v>
      </c>
      <c r="G3">
        <v>5210</v>
      </c>
      <c r="H3">
        <v>1</v>
      </c>
      <c r="I3">
        <v>5210</v>
      </c>
      <c r="K3">
        <v>1</v>
      </c>
      <c r="L3">
        <v>6865</v>
      </c>
      <c r="N3" s="20"/>
      <c r="O3">
        <v>1</v>
      </c>
      <c r="P3">
        <v>6865</v>
      </c>
    </row>
    <row r="4" spans="1:16" x14ac:dyDescent="0.25">
      <c r="A4">
        <v>2</v>
      </c>
      <c r="B4">
        <v>8861</v>
      </c>
      <c r="F4">
        <v>2</v>
      </c>
      <c r="G4">
        <v>5430</v>
      </c>
      <c r="H4">
        <v>2</v>
      </c>
      <c r="I4">
        <v>5430</v>
      </c>
      <c r="K4">
        <v>2</v>
      </c>
      <c r="L4">
        <v>8165</v>
      </c>
      <c r="O4">
        <v>5</v>
      </c>
      <c r="P4">
        <v>6425</v>
      </c>
    </row>
    <row r="5" spans="1:16" x14ac:dyDescent="0.25">
      <c r="A5">
        <v>3</v>
      </c>
      <c r="B5">
        <v>9921</v>
      </c>
      <c r="F5">
        <v>3</v>
      </c>
      <c r="G5">
        <v>4180</v>
      </c>
      <c r="H5">
        <v>3</v>
      </c>
      <c r="I5">
        <v>4180</v>
      </c>
      <c r="K5">
        <v>5</v>
      </c>
      <c r="L5">
        <v>6425</v>
      </c>
      <c r="O5">
        <v>6</v>
      </c>
      <c r="P5">
        <v>8245</v>
      </c>
    </row>
    <row r="6" spans="1:16" x14ac:dyDescent="0.25">
      <c r="A6">
        <v>4</v>
      </c>
      <c r="B6">
        <v>10891</v>
      </c>
      <c r="F6">
        <v>4</v>
      </c>
      <c r="G6">
        <v>4980</v>
      </c>
      <c r="H6">
        <v>4</v>
      </c>
      <c r="I6">
        <v>4980</v>
      </c>
      <c r="K6">
        <v>6</v>
      </c>
      <c r="L6">
        <v>8245</v>
      </c>
      <c r="O6">
        <v>8</v>
      </c>
      <c r="P6">
        <v>5065</v>
      </c>
    </row>
    <row r="7" spans="1:16" x14ac:dyDescent="0.25">
      <c r="A7">
        <v>5</v>
      </c>
      <c r="B7">
        <v>12821</v>
      </c>
      <c r="F7">
        <v>5</v>
      </c>
      <c r="G7">
        <v>6340</v>
      </c>
      <c r="H7">
        <v>5</v>
      </c>
      <c r="I7">
        <v>6340</v>
      </c>
      <c r="K7">
        <v>8</v>
      </c>
      <c r="L7">
        <v>5065</v>
      </c>
      <c r="O7">
        <v>9</v>
      </c>
      <c r="P7">
        <v>3385</v>
      </c>
    </row>
    <row r="8" spans="1:16" x14ac:dyDescent="0.25">
      <c r="A8">
        <v>6</v>
      </c>
      <c r="B8">
        <v>14351</v>
      </c>
      <c r="F8">
        <v>6</v>
      </c>
      <c r="G8">
        <v>7900</v>
      </c>
      <c r="H8">
        <v>6</v>
      </c>
      <c r="I8">
        <v>7900</v>
      </c>
      <c r="K8">
        <v>9</v>
      </c>
      <c r="L8">
        <v>3385</v>
      </c>
      <c r="O8">
        <v>10</v>
      </c>
      <c r="P8">
        <v>2205</v>
      </c>
    </row>
    <row r="9" spans="1:16" x14ac:dyDescent="0.25">
      <c r="A9">
        <v>7</v>
      </c>
      <c r="B9">
        <v>6411</v>
      </c>
      <c r="F9">
        <v>7</v>
      </c>
      <c r="G9">
        <v>10610</v>
      </c>
      <c r="H9">
        <v>7</v>
      </c>
      <c r="I9">
        <v>10610</v>
      </c>
      <c r="K9">
        <v>10</v>
      </c>
      <c r="L9">
        <v>2205</v>
      </c>
      <c r="O9">
        <v>11</v>
      </c>
      <c r="P9">
        <v>1385</v>
      </c>
    </row>
    <row r="10" spans="1:16" x14ac:dyDescent="0.25">
      <c r="A10">
        <v>8</v>
      </c>
      <c r="B10">
        <v>5401</v>
      </c>
      <c r="F10">
        <v>8</v>
      </c>
      <c r="G10">
        <v>9370</v>
      </c>
      <c r="H10">
        <v>8</v>
      </c>
      <c r="I10">
        <v>9370</v>
      </c>
      <c r="K10">
        <v>11</v>
      </c>
      <c r="L10">
        <v>1385</v>
      </c>
      <c r="O10">
        <v>12</v>
      </c>
      <c r="P10">
        <v>275</v>
      </c>
    </row>
    <row r="11" spans="1:16" x14ac:dyDescent="0.25">
      <c r="A11">
        <v>9</v>
      </c>
      <c r="B11">
        <v>4381</v>
      </c>
      <c r="F11">
        <v>9</v>
      </c>
      <c r="G11">
        <v>10331</v>
      </c>
      <c r="H11">
        <v>9</v>
      </c>
      <c r="I11">
        <v>10331</v>
      </c>
      <c r="K11">
        <v>12</v>
      </c>
      <c r="L11">
        <v>275</v>
      </c>
      <c r="O11">
        <v>14</v>
      </c>
      <c r="P11">
        <v>4225</v>
      </c>
    </row>
    <row r="12" spans="1:16" x14ac:dyDescent="0.25">
      <c r="A12">
        <v>10</v>
      </c>
      <c r="B12">
        <v>2851</v>
      </c>
      <c r="F12">
        <v>10</v>
      </c>
      <c r="G12">
        <v>11270</v>
      </c>
      <c r="H12">
        <v>10</v>
      </c>
      <c r="I12">
        <v>11270</v>
      </c>
      <c r="K12">
        <v>14</v>
      </c>
      <c r="L12">
        <v>4225</v>
      </c>
      <c r="O12">
        <v>15</v>
      </c>
      <c r="P12">
        <v>2905</v>
      </c>
    </row>
    <row r="13" spans="1:16" x14ac:dyDescent="0.25">
      <c r="A13">
        <v>11</v>
      </c>
      <c r="B13">
        <v>1731</v>
      </c>
      <c r="F13">
        <v>13</v>
      </c>
      <c r="G13">
        <v>5180</v>
      </c>
      <c r="H13">
        <v>13</v>
      </c>
      <c r="I13">
        <v>5180</v>
      </c>
      <c r="K13">
        <v>15</v>
      </c>
      <c r="L13">
        <v>2905</v>
      </c>
    </row>
    <row r="14" spans="1:16" x14ac:dyDescent="0.25">
      <c r="A14">
        <v>12</v>
      </c>
      <c r="B14">
        <v>661</v>
      </c>
      <c r="F14">
        <v>14</v>
      </c>
      <c r="G14">
        <v>1040</v>
      </c>
      <c r="H14">
        <v>15</v>
      </c>
      <c r="I14">
        <v>1683</v>
      </c>
    </row>
    <row r="15" spans="1:16" x14ac:dyDescent="0.25">
      <c r="A15">
        <v>13</v>
      </c>
      <c r="B15">
        <v>13553</v>
      </c>
    </row>
    <row r="16" spans="1:16" x14ac:dyDescent="0.25">
      <c r="E16" t="s">
        <v>679</v>
      </c>
      <c r="F16">
        <v>15</v>
      </c>
      <c r="G16">
        <v>1683</v>
      </c>
    </row>
    <row r="17" spans="5:5" x14ac:dyDescent="0.25">
      <c r="E17" s="126">
        <v>45825</v>
      </c>
    </row>
    <row r="18" spans="5:5" x14ac:dyDescent="0.25">
      <c r="E18" s="126">
        <v>45835</v>
      </c>
    </row>
  </sheetData>
  <sortState xmlns:xlrd2="http://schemas.microsoft.com/office/spreadsheetml/2017/richdata2" ref="K3:L13">
    <sortCondition ref="K3:K13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Code</vt:lpstr>
      <vt:lpstr>Full List of Data</vt:lpstr>
      <vt:lpstr>2024 Combined</vt:lpstr>
      <vt:lpstr>YSI</vt:lpstr>
      <vt:lpstr>DistanceFromDam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Henry Bradford</dc:creator>
  <cp:lastModifiedBy>Isaac Henry Bradford</cp:lastModifiedBy>
  <dcterms:created xsi:type="dcterms:W3CDTF">2024-06-10T14:59:44Z</dcterms:created>
  <dcterms:modified xsi:type="dcterms:W3CDTF">2025-06-17T22:59:45Z</dcterms:modified>
</cp:coreProperties>
</file>